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Baseline" sheetId="3" state="visible" r:id="rId3"/>
    <sheet name="EVM" sheetId="4" state="visible" r:id="rId4"/>
    <sheet name="Variance" sheetId="5" state="visible" r:id="rId5"/>
    <sheet name="Read 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b val="1"/>
    </font>
    <font>
      <b val="1"/>
      <color rgb="001F3864"/>
      <sz val="1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2" fillId="0" borderId="1" pivotButton="0" quotePrefix="0" xfId="0"/>
    <xf numFmtId="0" fontId="7" fillId="6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3" fontId="4" fillId="4" borderId="1" pivotButton="0" quotePrefix="0" xfId="0"/>
    <xf numFmtId="3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3" fontId="0" fillId="0" borderId="1" pivotButton="0" quotePrefix="0" xfId="0"/>
    <xf numFmtId="3" fontId="0" fillId="6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S-Curve — Planned, Earned and Actual</a:t>
            </a:r>
          </a:p>
        </rich>
      </tx>
    </title>
    <plotArea>
      <lineChart>
        <grouping val="standard"/>
        <ser>
          <idx val="0"/>
          <order val="0"/>
          <tx>
            <v>PV cum (planned value)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'EVM'!$B$5:$B$16</f>
            </numRef>
          </cat>
          <val>
            <numRef>
              <f>'EVM'!$C$5:$C$16</f>
            </numRef>
          </val>
          <smooth val="0"/>
        </ser>
        <ser>
          <idx val="1"/>
          <order val="1"/>
          <tx>
            <v>EV cum (earned value)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'EVM'!$B$5:$B$16</f>
            </numRef>
          </cat>
          <val>
            <numRef>
              <f>'EVM'!$D$5:$D$16</f>
            </numRef>
          </val>
          <smooth val="0"/>
        </ser>
        <ser>
          <idx val="2"/>
          <order val="2"/>
          <tx>
            <v>AC cum (actual cost)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'EVM'!$B$5:$B$16</f>
            </numRef>
          </cat>
          <val>
            <numRef>
              <f>'EVM'!$E$5:$E$16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period</a:t>
                </a:r>
              </a:p>
            </rich>
          </tx>
        </title>
        <majorTickMark val="none"/>
        <minorTickMark val="none"/>
        <tickLblPos val="low"/>
        <crossAx val="100"/>
        <auto val="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value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and Schedule Performance Trend</a:t>
            </a:r>
          </a:p>
        </rich>
      </tx>
    </title>
    <plotArea>
      <lineChart>
        <grouping val="standard"/>
        <ser>
          <idx val="0"/>
          <order val="0"/>
          <tx>
            <v>CPI (cost)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'EVM'!$B$5:$B$10</f>
            </numRef>
          </cat>
          <val>
            <numRef>
              <f>'EVM'!$H$5:$H$10</f>
            </numRef>
          </val>
          <smooth val="0"/>
        </ser>
        <ser>
          <idx val="1"/>
          <order val="1"/>
          <tx>
            <v>SPI (schedule)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'EVM'!$B$5:$B$10</f>
            </numRef>
          </cat>
          <val>
            <numRef>
              <f>'EVM'!$I$5:$I$10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period</a:t>
                </a:r>
              </a:p>
            </rich>
          </tx>
        </title>
        <majorTickMark val="none"/>
        <minorTickMark val="none"/>
        <tickLblPos val="low"/>
        <crossAx val="100"/>
        <auto val="0"/>
        <lblOffset val="100"/>
      </catAx>
      <valAx>
        <axId val="100"/>
        <scaling>
          <orientation val="minMax"/>
          <max val="1.2"/>
          <min val="0.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  <majorUnit val="0.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Variance by Work Package (negative is over budget)</a:t>
            </a:r>
          </a:p>
        </rich>
      </tx>
    </title>
    <plotArea>
      <barChart>
        <barDir val="bar"/>
        <grouping val="clustered"/>
        <ser>
          <idx val="0"/>
          <order val="0"/>
          <tx>
            <v>Cost variance</v>
          </tx>
          <spPr>
            <a:ln>
              <a:prstDash val="solid"/>
            </a:ln>
          </spPr>
          <invertIfNegative val="0"/>
          <cat>
            <numRef>
              <f>'Variance'!$B$5:$B$12</f>
            </numRef>
          </cat>
          <val>
            <numRef>
              <f>'Variance'!$F$5:$F$12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auto val="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variance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6" customWidth="1" min="4" max="4"/>
  </cols>
  <sheetData>
    <row r="1">
      <c r="A1" s="1" t="inlineStr">
        <is>
          <t>Academic Block (G+4 RCC) - Institutional Campus</t>
        </is>
      </c>
    </row>
    <row r="2">
      <c r="A2" s="2" t="inlineStr">
        <is>
          <t>CE725-CASE-01  |  data date: end of Period 6 (Sep-2026)</t>
        </is>
      </c>
    </row>
    <row r="4">
      <c r="B4" s="3" t="inlineStr">
        <is>
          <t>POSITION</t>
        </is>
      </c>
    </row>
    <row r="5">
      <c r="B5" s="4" t="inlineStr">
        <is>
          <t>Budget at completion (BAC)</t>
        </is>
      </c>
      <c r="C5" s="5">
        <f>Inputs!$C$24</f>
        <v/>
      </c>
    </row>
    <row r="6">
      <c r="B6" s="4" t="inlineStr">
        <is>
          <t>Planned value (PV)</t>
        </is>
      </c>
      <c r="C6" s="5">
        <f>EVM!C10</f>
        <v/>
      </c>
    </row>
    <row r="7">
      <c r="B7" s="4" t="inlineStr">
        <is>
          <t>Earned value (EV)</t>
        </is>
      </c>
      <c r="C7" s="5">
        <f>EVM!D10</f>
        <v/>
      </c>
    </row>
    <row r="8">
      <c r="B8" s="4" t="inlineStr">
        <is>
          <t>Actual cost (AC)</t>
        </is>
      </c>
      <c r="C8" s="5">
        <f>EVM!E10</f>
        <v/>
      </c>
    </row>
    <row r="9">
      <c r="B9" s="4" t="inlineStr">
        <is>
          <t>Percent complete</t>
        </is>
      </c>
      <c r="C9" s="6">
        <f>EVM!J10</f>
        <v/>
      </c>
    </row>
    <row r="10">
      <c r="B10" s="4" t="inlineStr">
        <is>
          <t>Percent spent</t>
        </is>
      </c>
      <c r="C10" s="6">
        <f>EVM!K10</f>
        <v/>
      </c>
    </row>
    <row r="11">
      <c r="B11" s="3" t="inlineStr">
        <is>
          <t>VARIANCE</t>
        </is>
      </c>
    </row>
    <row r="13">
      <c r="B13" s="4" t="inlineStr">
        <is>
          <t>Cost variance (CV)</t>
        </is>
      </c>
      <c r="C13" s="5">
        <f>EVM!F10</f>
        <v/>
      </c>
    </row>
    <row r="14">
      <c r="B14" s="4" t="inlineStr">
        <is>
          <t>Schedule variance (SV)</t>
        </is>
      </c>
      <c r="C14" s="5">
        <f>EVM!G10</f>
        <v/>
      </c>
    </row>
    <row r="15">
      <c r="B15" s="4" t="inlineStr">
        <is>
          <t>Cost performance index (CPI)</t>
        </is>
      </c>
      <c r="C15" s="7">
        <f>EVM!H10</f>
        <v/>
      </c>
      <c r="D15" s="8" t="inlineStr">
        <is>
          <t>Rupees of budgeted work per rupee spent. Below 1.00 is overspending.</t>
        </is>
      </c>
    </row>
    <row r="16">
      <c r="B16" s="4" t="inlineStr">
        <is>
          <t>Schedule performance index (SPI)</t>
        </is>
      </c>
      <c r="C16" s="7">
        <f>EVM!I10</f>
        <v/>
      </c>
      <c r="D16" s="8" t="inlineStr">
        <is>
          <t>Work done per unit of work scheduled. Below 1.00 is behind.</t>
        </is>
      </c>
    </row>
    <row r="17">
      <c r="B17" s="3" t="inlineStr">
        <is>
          <t>FORECAST</t>
        </is>
      </c>
    </row>
    <row r="19">
      <c r="B19" s="4" t="inlineStr">
        <is>
          <t>EAC — performance continues</t>
        </is>
      </c>
      <c r="C19" s="5">
        <f>Inputs!$C$24/EVM!H10</f>
        <v/>
      </c>
      <c r="D19" s="8" t="inlineStr">
        <is>
          <t>BAC / CPI. The default forecast.</t>
        </is>
      </c>
    </row>
    <row r="20">
      <c r="B20" s="4" t="inlineStr">
        <is>
          <t>EAC — variance was a one-off</t>
        </is>
      </c>
      <c r="C20" s="5">
        <f>EVM!E10+(Inputs!$C$24-EVM!D10)</f>
        <v/>
      </c>
      <c r="D20" s="8" t="inlineStr">
        <is>
          <t>AC + (BAC - EV). The most optimistic assumption available.</t>
        </is>
      </c>
    </row>
    <row r="21">
      <c r="B21" s="4" t="inlineStr">
        <is>
          <t>EAC — cost and schedule pressure</t>
        </is>
      </c>
      <c r="C21" s="5">
        <f>EVM!E10+(Inputs!$C$24-EVM!D10)/(EVM!H10*EVM!I10)</f>
        <v/>
      </c>
      <c r="D21" s="8" t="inlineStr">
        <is>
          <t>AC + (BAC - EV) / (CPI x SPI). Recovering schedule normally costs money.</t>
        </is>
      </c>
    </row>
    <row r="22">
      <c r="B22" s="4" t="inlineStr">
        <is>
          <t>ETC (on EAC, performance continues)</t>
        </is>
      </c>
      <c r="C22" s="5">
        <f>Inputs!$C$24/EVM!H10-EVM!E10</f>
        <v/>
      </c>
    </row>
    <row r="23">
      <c r="B23" s="4" t="inlineStr">
        <is>
          <t>VAC (on EAC, performance continues)</t>
        </is>
      </c>
      <c r="C23" s="5">
        <f>Inputs!$C$24-Inputs!$C$24/EVM!H10</f>
        <v/>
      </c>
    </row>
    <row r="24">
      <c r="B24" s="4" t="inlineStr">
        <is>
          <t>TCPI to finish on budget</t>
        </is>
      </c>
      <c r="C24" s="7">
        <f>(Inputs!$C$24-EVM!D10)/(Inputs!$C$24-EVM!E10)</f>
        <v/>
      </c>
      <c r="D24" s="8" t="inlineStr">
        <is>
          <t>Efficiency the REMAINING work must achieve. Compare it with CPI.</t>
        </is>
      </c>
    </row>
    <row r="26">
      <c r="B26" s="3" t="inlineStr">
        <is>
          <t>VERDICT</t>
        </is>
      </c>
      <c r="C26" s="9">
        <f>IF(AND(EVM!H10&gt;=0.95,EVM!I10&gt;=0.95),"ON TRACK",IF(AND(EVM!H10&lt;0.95,EVM!I10&lt;0.95),"BEHIND SCHEDULE AND OVERSPENT",IF(EVM!H10&lt;0.95,"OVERSPENT","BEHIND SCHEDULE")))</f>
        <v/>
      </c>
      <c r="D26" s="2" t="inlineStr">
        <is>
          <t>Thresholds: an index within 5% of plan is treated as noise.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Academic Block (G+4 RCC) - Institutional Campus — EVM Inputs</t>
        </is>
      </c>
    </row>
    <row r="2">
      <c r="A2" s="2" t="inlineStr">
        <is>
          <t>Yellow cells are editable. Change any of them and every index, forecast and chart in this workbook recalculates.</t>
        </is>
      </c>
    </row>
    <row r="4" ht="30" customHeight="1">
      <c r="A4" s="10" t="inlineStr">
        <is>
          <t>WBS ID</t>
        </is>
      </c>
      <c r="B4" s="10" t="inlineStr">
        <is>
          <t>Work Package</t>
        </is>
      </c>
      <c r="C4" s="10" t="inlineStr">
        <is>
          <t>Budget (Rs)</t>
        </is>
      </c>
      <c r="D4" s="10" t="inlineStr">
        <is>
          <t>AC P1</t>
        </is>
      </c>
      <c r="E4" s="10" t="inlineStr">
        <is>
          <t>AC P2</t>
        </is>
      </c>
      <c r="F4" s="10" t="inlineStr">
        <is>
          <t>AC P3</t>
        </is>
      </c>
      <c r="G4" s="10" t="inlineStr">
        <is>
          <t>AC P4</t>
        </is>
      </c>
      <c r="H4" s="10" t="inlineStr">
        <is>
          <t>AC P5</t>
        </is>
      </c>
      <c r="I4" s="10" t="inlineStr">
        <is>
          <t>AC P6</t>
        </is>
      </c>
      <c r="J4" s="10" t="inlineStr">
        <is>
          <t>%C P1</t>
        </is>
      </c>
      <c r="K4" s="10" t="inlineStr">
        <is>
          <t>%C P2</t>
        </is>
      </c>
      <c r="L4" s="10" t="inlineStr">
        <is>
          <t>%C P3</t>
        </is>
      </c>
      <c r="M4" s="10" t="inlineStr">
        <is>
          <t>%C P4</t>
        </is>
      </c>
      <c r="N4" s="10" t="inlineStr">
        <is>
          <t>%C P5</t>
        </is>
      </c>
      <c r="O4" s="10" t="inlineStr">
        <is>
          <t>%C P6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11" t="n">
        <v>2500000</v>
      </c>
      <c r="D5" s="11" t="n">
        <v>1500000</v>
      </c>
      <c r="E5" s="11" t="n">
        <v>1200000</v>
      </c>
      <c r="F5" s="11" t="n">
        <v>0</v>
      </c>
      <c r="G5" s="11" t="n">
        <v>0</v>
      </c>
      <c r="H5" s="11" t="n">
        <v>0</v>
      </c>
      <c r="I5" s="11" t="n">
        <v>0</v>
      </c>
      <c r="J5" s="12" t="n">
        <v>0.55</v>
      </c>
      <c r="K5" s="12" t="n">
        <v>1</v>
      </c>
      <c r="L5" s="12" t="n">
        <v>1</v>
      </c>
      <c r="M5" s="12" t="n">
        <v>1</v>
      </c>
      <c r="N5" s="12" t="n">
        <v>1</v>
      </c>
      <c r="O5" s="12" t="n">
        <v>1</v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11" t="n">
        <v>1800000</v>
      </c>
      <c r="D6" s="11" t="n">
        <v>950000</v>
      </c>
      <c r="E6" s="11" t="n">
        <v>900000</v>
      </c>
      <c r="F6" s="11" t="n">
        <v>0</v>
      </c>
      <c r="G6" s="11" t="n">
        <v>0</v>
      </c>
      <c r="H6" s="11" t="n">
        <v>0</v>
      </c>
      <c r="I6" s="11" t="n">
        <v>0</v>
      </c>
      <c r="J6" s="12" t="n">
        <v>0.5</v>
      </c>
      <c r="K6" s="12" t="n">
        <v>1</v>
      </c>
      <c r="L6" s="12" t="n">
        <v>1</v>
      </c>
      <c r="M6" s="12" t="n">
        <v>1</v>
      </c>
      <c r="N6" s="12" t="n">
        <v>1</v>
      </c>
      <c r="O6" s="12" t="n">
        <v>1</v>
      </c>
    </row>
    <row r="7">
      <c r="A7" s="4" t="inlineStr">
        <is>
          <t>2.1</t>
        </is>
      </c>
      <c r="B7" s="4" t="inlineStr">
        <is>
          <t>Excavation and earthwork</t>
        </is>
      </c>
      <c r="C7" s="11" t="n">
        <v>4200000</v>
      </c>
      <c r="D7" s="11" t="n">
        <v>1100000</v>
      </c>
      <c r="E7" s="11" t="n">
        <v>1500000</v>
      </c>
      <c r="F7" s="11" t="n">
        <v>1650000</v>
      </c>
      <c r="G7" s="11" t="n">
        <v>1100000</v>
      </c>
      <c r="H7" s="11" t="n">
        <v>750000</v>
      </c>
      <c r="I7" s="11" t="n">
        <v>0</v>
      </c>
      <c r="J7" s="12" t="n">
        <v>0.2</v>
      </c>
      <c r="K7" s="12" t="n">
        <v>0.45</v>
      </c>
      <c r="L7" s="12" t="n">
        <v>0.72</v>
      </c>
      <c r="M7" s="12" t="n">
        <v>0.9</v>
      </c>
      <c r="N7" s="12" t="n">
        <v>1</v>
      </c>
      <c r="O7" s="12" t="n">
        <v>1</v>
      </c>
    </row>
    <row r="8">
      <c r="A8" s="4" t="inlineStr">
        <is>
          <t>2.2</t>
        </is>
      </c>
      <c r="B8" s="4" t="inlineStr">
        <is>
          <t>PCC and footings</t>
        </is>
      </c>
      <c r="C8" s="11" t="n">
        <v>6800000</v>
      </c>
      <c r="D8" s="11" t="n">
        <v>0</v>
      </c>
      <c r="E8" s="11" t="n">
        <v>1100000</v>
      </c>
      <c r="F8" s="11" t="n">
        <v>1950000</v>
      </c>
      <c r="G8" s="11" t="n">
        <v>2500000</v>
      </c>
      <c r="H8" s="11" t="n">
        <v>1850000</v>
      </c>
      <c r="I8" s="11" t="n">
        <v>0</v>
      </c>
      <c r="J8" s="12" t="n">
        <v>0</v>
      </c>
      <c r="K8" s="12" t="n">
        <v>0.15</v>
      </c>
      <c r="L8" s="12" t="n">
        <v>0.42</v>
      </c>
      <c r="M8" s="12" t="n">
        <v>0.78</v>
      </c>
      <c r="N8" s="12" t="n">
        <v>1</v>
      </c>
      <c r="O8" s="12" t="n">
        <v>1</v>
      </c>
    </row>
    <row r="9">
      <c r="A9" s="4" t="inlineStr">
        <is>
          <t>2.3</t>
        </is>
      </c>
      <c r="B9" s="4" t="inlineStr">
        <is>
          <t>Foundation RCC up to plinth</t>
        </is>
      </c>
      <c r="C9" s="11" t="n">
        <v>9500000</v>
      </c>
      <c r="D9" s="11" t="n">
        <v>0</v>
      </c>
      <c r="E9" s="11" t="n">
        <v>0</v>
      </c>
      <c r="F9" s="11" t="n">
        <v>1900000</v>
      </c>
      <c r="G9" s="11" t="n">
        <v>3000000</v>
      </c>
      <c r="H9" s="11" t="n">
        <v>3400000</v>
      </c>
      <c r="I9" s="11" t="n">
        <v>2500000</v>
      </c>
      <c r="J9" s="12" t="n">
        <v>0</v>
      </c>
      <c r="K9" s="12" t="n">
        <v>0</v>
      </c>
      <c r="L9" s="12" t="n">
        <v>0.18</v>
      </c>
      <c r="M9" s="12" t="n">
        <v>0.46</v>
      </c>
      <c r="N9" s="12" t="n">
        <v>0.8</v>
      </c>
      <c r="O9" s="12" t="n">
        <v>1</v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11" t="n">
        <v>3800000</v>
      </c>
      <c r="D10" s="11" t="n">
        <v>0</v>
      </c>
      <c r="E10" s="11" t="n">
        <v>0</v>
      </c>
      <c r="F10" s="11" t="n">
        <v>0</v>
      </c>
      <c r="G10" s="11" t="n">
        <v>850000</v>
      </c>
      <c r="H10" s="11" t="n">
        <v>1600000</v>
      </c>
      <c r="I10" s="11" t="n">
        <v>1650000</v>
      </c>
      <c r="J10" s="12" t="n">
        <v>0</v>
      </c>
      <c r="K10" s="12" t="n">
        <v>0</v>
      </c>
      <c r="L10" s="12" t="n">
        <v>0</v>
      </c>
      <c r="M10" s="12" t="n">
        <v>0.2</v>
      </c>
      <c r="N10" s="12" t="n">
        <v>0.62</v>
      </c>
      <c r="O10" s="12" t="n">
        <v>1</v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11" t="n">
        <v>14500000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1300000</v>
      </c>
      <c r="I11" s="11" t="n">
        <v>2300000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0.08</v>
      </c>
      <c r="O11" s="12" t="n">
        <v>0.22</v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11" t="n">
        <v>21000000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1200000</v>
      </c>
      <c r="I12" s="11" t="n">
        <v>2100000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0.05</v>
      </c>
      <c r="O12" s="12" t="n">
        <v>0.14</v>
      </c>
    </row>
    <row r="13">
      <c r="A13" s="4" t="inlineStr">
        <is>
          <t>3.3</t>
        </is>
      </c>
      <c r="B13" s="4" t="inlineStr">
        <is>
          <t>Staircase and lift core RCC</t>
        </is>
      </c>
      <c r="C13" s="11" t="n">
        <v>5500000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4" t="inlineStr">
        <is>
          <t>4.1</t>
        </is>
      </c>
      <c r="B14" s="4" t="inlineStr">
        <is>
          <t>Block masonry</t>
        </is>
      </c>
      <c r="C14" s="11" t="n">
        <v>8800000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4" t="inlineStr">
        <is>
          <t>4.2</t>
        </is>
      </c>
      <c r="B15" s="4" t="inlineStr">
        <is>
          <t>Internal plaster</t>
        </is>
      </c>
      <c r="C15" s="11" t="n">
        <v>5200000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11" t="n">
        <v>4600000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11" t="n">
        <v>9500000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11" t="n">
        <v>6200000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4" t="inlineStr">
        <is>
          <t>5.1</t>
        </is>
      </c>
      <c r="B19" s="4" t="inlineStr">
        <is>
          <t>Internal electrification</t>
        </is>
      </c>
      <c r="C19" s="11" t="n">
        <v>10500000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11" t="n">
        <v>7200000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4" t="inlineStr">
        <is>
          <t>5.3</t>
        </is>
      </c>
      <c r="B21" s="4" t="inlineStr">
        <is>
          <t>HVAC and fire fighting</t>
        </is>
      </c>
      <c r="C21" s="11" t="n">
        <v>9800000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11" t="n">
        <v>5800000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11" t="n">
        <v>2800000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B24" s="13" t="inlineStr">
        <is>
          <t>TOTAL</t>
        </is>
      </c>
      <c r="C24" s="14">
        <f>SUM(C5:C23)</f>
        <v/>
      </c>
      <c r="D24" s="14">
        <f>SUM(D5:D23)</f>
        <v/>
      </c>
      <c r="E24" s="14">
        <f>SUM(E5:E23)</f>
        <v/>
      </c>
      <c r="F24" s="14">
        <f>SUM(F5:F23)</f>
        <v/>
      </c>
      <c r="G24" s="14">
        <f>SUM(G5:G23)</f>
        <v/>
      </c>
      <c r="H24" s="14">
        <f>SUM(H5:H23)</f>
        <v/>
      </c>
      <c r="I24" s="14">
        <f>SUM(I5:I23)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Time-Phased Budget (Planned Value)</t>
        </is>
      </c>
    </row>
    <row r="4" ht="30" customHeight="1">
      <c r="A4" s="10" t="inlineStr">
        <is>
          <t>WBS ID</t>
        </is>
      </c>
      <c r="B4" s="10" t="inlineStr">
        <is>
          <t>Work Package</t>
        </is>
      </c>
      <c r="C4" s="10" t="inlineStr">
        <is>
          <t>P1</t>
        </is>
      </c>
      <c r="D4" s="10" t="inlineStr">
        <is>
          <t>P2</t>
        </is>
      </c>
      <c r="E4" s="10" t="inlineStr">
        <is>
          <t>P3</t>
        </is>
      </c>
      <c r="F4" s="10" t="inlineStr">
        <is>
          <t>P4</t>
        </is>
      </c>
      <c r="G4" s="10" t="inlineStr">
        <is>
          <t>P5</t>
        </is>
      </c>
      <c r="H4" s="10" t="inlineStr">
        <is>
          <t>P6</t>
        </is>
      </c>
      <c r="I4" s="10" t="inlineStr">
        <is>
          <t>P7</t>
        </is>
      </c>
      <c r="J4" s="10" t="inlineStr">
        <is>
          <t>P8</t>
        </is>
      </c>
      <c r="K4" s="10" t="inlineStr">
        <is>
          <t>P9</t>
        </is>
      </c>
      <c r="L4" s="10" t="inlineStr">
        <is>
          <t>P10</t>
        </is>
      </c>
      <c r="M4" s="10" t="inlineStr">
        <is>
          <t>P11</t>
        </is>
      </c>
      <c r="N4" s="10" t="inlineStr">
        <is>
          <t>P12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11" t="n">
        <v>1250000</v>
      </c>
      <c r="D5" s="11" t="n">
        <v>1250000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11" t="n">
        <v>900000</v>
      </c>
      <c r="D6" s="11" t="n">
        <v>900000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</row>
    <row r="7">
      <c r="A7" s="4" t="inlineStr">
        <is>
          <t>2.1</t>
        </is>
      </c>
      <c r="B7" s="4" t="inlineStr">
        <is>
          <t>Excavation and earthwork</t>
        </is>
      </c>
      <c r="C7" s="11" t="n">
        <v>1400000</v>
      </c>
      <c r="D7" s="11" t="n">
        <v>1400000</v>
      </c>
      <c r="E7" s="11" t="n">
        <v>1400000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</row>
    <row r="8">
      <c r="A8" s="4" t="inlineStr">
        <is>
          <t>2.2</t>
        </is>
      </c>
      <c r="B8" s="4" t="inlineStr">
        <is>
          <t>PCC and footings</t>
        </is>
      </c>
      <c r="C8" s="11" t="n">
        <v>0</v>
      </c>
      <c r="D8" s="11" t="n">
        <v>1762962.96</v>
      </c>
      <c r="E8" s="11" t="n">
        <v>3274074.07</v>
      </c>
      <c r="F8" s="11" t="n">
        <v>1762962.96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</row>
    <row r="9">
      <c r="A9" s="4" t="inlineStr">
        <is>
          <t>2.3</t>
        </is>
      </c>
      <c r="B9" s="4" t="inlineStr">
        <is>
          <t>Foundation RCC up to plinth</t>
        </is>
      </c>
      <c r="C9" s="11" t="n">
        <v>0</v>
      </c>
      <c r="D9" s="11" t="n">
        <v>0</v>
      </c>
      <c r="E9" s="11" t="n">
        <v>2462962.96</v>
      </c>
      <c r="F9" s="11" t="n">
        <v>4574074.07</v>
      </c>
      <c r="G9" s="11" t="n">
        <v>2462962.96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11" t="n">
        <v>0</v>
      </c>
      <c r="D10" s="11" t="n">
        <v>0</v>
      </c>
      <c r="E10" s="11" t="n">
        <v>0</v>
      </c>
      <c r="F10" s="11" t="n">
        <v>1900000</v>
      </c>
      <c r="G10" s="11" t="n">
        <v>1900000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1508000</v>
      </c>
      <c r="H11" s="11" t="n">
        <v>3596000</v>
      </c>
      <c r="I11" s="11" t="n">
        <v>4292000</v>
      </c>
      <c r="J11" s="11" t="n">
        <v>3596000</v>
      </c>
      <c r="K11" s="11" t="n">
        <v>1508000</v>
      </c>
      <c r="L11" s="11" t="n">
        <v>0</v>
      </c>
      <c r="M11" s="11" t="n">
        <v>0</v>
      </c>
      <c r="N11" s="11" t="n">
        <v>0</v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1555555.56</v>
      </c>
      <c r="H12" s="11" t="n">
        <v>3888888.89</v>
      </c>
      <c r="I12" s="11" t="n">
        <v>5055555.56</v>
      </c>
      <c r="J12" s="11" t="n">
        <v>5055555.56</v>
      </c>
      <c r="K12" s="11" t="n">
        <v>3888888.89</v>
      </c>
      <c r="L12" s="11" t="n">
        <v>1555555.56</v>
      </c>
      <c r="M12" s="11" t="n">
        <v>0</v>
      </c>
      <c r="N12" s="11" t="n">
        <v>0</v>
      </c>
    </row>
    <row r="13">
      <c r="A13" s="4" t="inlineStr">
        <is>
          <t>3.3</t>
        </is>
      </c>
      <c r="B13" s="4" t="inlineStr">
        <is>
          <t>Staircase and lift core RCC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1100000</v>
      </c>
      <c r="I13" s="11" t="n">
        <v>1100000</v>
      </c>
      <c r="J13" s="11" t="n">
        <v>1100000</v>
      </c>
      <c r="K13" s="11" t="n">
        <v>1100000</v>
      </c>
      <c r="L13" s="11" t="n">
        <v>1100000</v>
      </c>
      <c r="M13" s="11" t="n">
        <v>0</v>
      </c>
      <c r="N13" s="11" t="n">
        <v>0</v>
      </c>
    </row>
    <row r="14">
      <c r="A14" s="4" t="inlineStr">
        <is>
          <t>4.1</t>
        </is>
      </c>
      <c r="B14" s="4" t="inlineStr">
        <is>
          <t>Block masonry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915200</v>
      </c>
      <c r="J14" s="11" t="n">
        <v>2182400</v>
      </c>
      <c r="K14" s="11" t="n">
        <v>2604800</v>
      </c>
      <c r="L14" s="11" t="n">
        <v>2182400</v>
      </c>
      <c r="M14" s="11" t="n">
        <v>915200</v>
      </c>
      <c r="N14" s="11" t="n">
        <v>0</v>
      </c>
    </row>
    <row r="15">
      <c r="A15" s="4" t="inlineStr">
        <is>
          <t>4.2</t>
        </is>
      </c>
      <c r="B15" s="4" t="inlineStr">
        <is>
          <t>Internal plaster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812500</v>
      </c>
      <c r="L15" s="11" t="n">
        <v>1787500</v>
      </c>
      <c r="M15" s="11" t="n">
        <v>1787500</v>
      </c>
      <c r="N15" s="11" t="n">
        <v>812500</v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1150000</v>
      </c>
      <c r="L16" s="11" t="n">
        <v>1150000</v>
      </c>
      <c r="M16" s="11" t="n">
        <v>1150000</v>
      </c>
      <c r="N16" s="11" t="n">
        <v>1150000</v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2462962.96</v>
      </c>
      <c r="M17" s="11" t="n">
        <v>4574074.07</v>
      </c>
      <c r="N17" s="11" t="n">
        <v>2462962.96</v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3100000</v>
      </c>
      <c r="N18" s="11" t="n">
        <v>3100000</v>
      </c>
    </row>
    <row r="19">
      <c r="A19" s="4" t="inlineStr">
        <is>
          <t>5.1</t>
        </is>
      </c>
      <c r="B19" s="4" t="inlineStr">
        <is>
          <t>Internal electrification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777777.78</v>
      </c>
      <c r="J19" s="11" t="n">
        <v>1944444.44</v>
      </c>
      <c r="K19" s="11" t="n">
        <v>2527777.78</v>
      </c>
      <c r="L19" s="11" t="n">
        <v>2527777.78</v>
      </c>
      <c r="M19" s="11" t="n">
        <v>1944444.44</v>
      </c>
      <c r="N19" s="11" t="n">
        <v>777777.78</v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533333.33</v>
      </c>
      <c r="J20" s="11" t="n">
        <v>1333333.33</v>
      </c>
      <c r="K20" s="11" t="n">
        <v>1733333.33</v>
      </c>
      <c r="L20" s="11" t="n">
        <v>1733333.33</v>
      </c>
      <c r="M20" s="11" t="n">
        <v>1333333.33</v>
      </c>
      <c r="N20" s="11" t="n">
        <v>533333.33</v>
      </c>
    </row>
    <row r="21">
      <c r="A21" s="4" t="inlineStr">
        <is>
          <t>5.3</t>
        </is>
      </c>
      <c r="B21" s="4" t="inlineStr">
        <is>
          <t>HVAC and fire fighting</t>
        </is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1531250</v>
      </c>
      <c r="L21" s="11" t="n">
        <v>3368750</v>
      </c>
      <c r="M21" s="11" t="n">
        <v>3368750</v>
      </c>
      <c r="N21" s="11" t="n">
        <v>1531250</v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1933333.33</v>
      </c>
      <c r="M22" s="11" t="n">
        <v>1933333.33</v>
      </c>
      <c r="N22" s="11" t="n">
        <v>1933333.33</v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2800000</v>
      </c>
    </row>
    <row r="24">
      <c r="B24" s="13" t="inlineStr">
        <is>
          <t>TOTAL</t>
        </is>
      </c>
      <c r="C24" s="14">
        <f>SUM(C5:C23)</f>
        <v/>
      </c>
      <c r="D24" s="14">
        <f>SUM(D5:D23)</f>
        <v/>
      </c>
      <c r="E24" s="14">
        <f>SUM(E5:E23)</f>
        <v/>
      </c>
      <c r="F24" s="14">
        <f>SUM(F5:F23)</f>
        <v/>
      </c>
      <c r="G24" s="14">
        <f>SUM(G5:G23)</f>
        <v/>
      </c>
      <c r="H24" s="14">
        <f>SUM(H5:H23)</f>
        <v/>
      </c>
      <c r="I24" s="14">
        <f>SUM(I5:I23)</f>
        <v/>
      </c>
      <c r="J24" s="14">
        <f>SUM(J5:J23)</f>
        <v/>
      </c>
      <c r="K24" s="14">
        <f>SUM(K5:K23)</f>
        <v/>
      </c>
      <c r="L24" s="14">
        <f>SUM(L5:L23)</f>
        <v/>
      </c>
      <c r="M24" s="14">
        <f>SUM(M5:M23)</f>
        <v/>
      </c>
      <c r="N24" s="14">
        <f>SUM(N5:N23)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Earned Value by Reporting Period</t>
        </is>
      </c>
    </row>
    <row r="2">
      <c r="A2" s="2" t="inlineStr">
        <is>
          <t>Data date: end of Period 6. EV and AC stop there; beyond it they return NA() so the charts break the line rather than plotting zero.</t>
        </is>
      </c>
    </row>
    <row r="4" ht="30" customHeight="1">
      <c r="A4" s="10" t="inlineStr">
        <is>
          <t>Period</t>
        </is>
      </c>
      <c r="B4" s="10" t="inlineStr">
        <is>
          <t>Label</t>
        </is>
      </c>
      <c r="C4" s="10" t="inlineStr">
        <is>
          <t>PV cum</t>
        </is>
      </c>
      <c r="D4" s="10" t="inlineStr">
        <is>
          <t>EV cum</t>
        </is>
      </c>
      <c r="E4" s="10" t="inlineStr">
        <is>
          <t>AC cum</t>
        </is>
      </c>
      <c r="F4" s="10" t="inlineStr">
        <is>
          <t>CV</t>
        </is>
      </c>
      <c r="G4" s="10" t="inlineStr">
        <is>
          <t>SV</t>
        </is>
      </c>
      <c r="H4" s="10" t="inlineStr">
        <is>
          <t>CPI</t>
        </is>
      </c>
      <c r="I4" s="10" t="inlineStr">
        <is>
          <t>SPI</t>
        </is>
      </c>
      <c r="J4" s="10" t="inlineStr">
        <is>
          <t>% complete</t>
        </is>
      </c>
      <c r="K4" s="10" t="inlineStr">
        <is>
          <t>% spent</t>
        </is>
      </c>
    </row>
    <row r="5">
      <c r="A5" s="4" t="n">
        <v>1</v>
      </c>
      <c r="B5" s="4" t="inlineStr">
        <is>
          <t>Apr-2026</t>
        </is>
      </c>
      <c r="C5" s="15">
        <f>SUM(Baseline!$C$5:C$23)</f>
        <v/>
      </c>
      <c r="D5" s="15">
        <f>SUMPRODUCT(Inputs!$C$5:$C$23,Inputs!J$5:J$23)</f>
        <v/>
      </c>
      <c r="E5" s="15">
        <f>SUM(Inputs!$D$5:D$23)</f>
        <v/>
      </c>
      <c r="F5" s="15">
        <f>IF(ISNA(D5),NA(),D5-E5)</f>
        <v/>
      </c>
      <c r="G5" s="15">
        <f>IF(ISNA(D5),NA(),D5-C5)</f>
        <v/>
      </c>
      <c r="H5" s="16">
        <f>IF(ISNA(D5),NA(),IF(E5=0,NA(),D5/E5))</f>
        <v/>
      </c>
      <c r="I5" s="16">
        <f>IF(ISNA(D5),NA(),IF(C5=0,NA(),D5/C5))</f>
        <v/>
      </c>
      <c r="J5" s="17">
        <f>IF(ISNA(D5),NA(),D5/Inputs!$C$24)</f>
        <v/>
      </c>
      <c r="K5" s="17">
        <f>IF(ISNA(E5),NA(),E5/Inputs!$C$24)</f>
        <v/>
      </c>
    </row>
    <row r="6">
      <c r="A6" s="4" t="n">
        <v>2</v>
      </c>
      <c r="B6" s="4" t="inlineStr">
        <is>
          <t>May-2026</t>
        </is>
      </c>
      <c r="C6" s="15">
        <f>SUM(Baseline!$C$5:D$23)</f>
        <v/>
      </c>
      <c r="D6" s="15">
        <f>SUMPRODUCT(Inputs!$C$5:$C$23,Inputs!K$5:K$23)</f>
        <v/>
      </c>
      <c r="E6" s="15">
        <f>SUM(Inputs!$D$5:E$23)</f>
        <v/>
      </c>
      <c r="F6" s="15">
        <f>IF(ISNA(D6),NA(),D6-E6)</f>
        <v/>
      </c>
      <c r="G6" s="15">
        <f>IF(ISNA(D6),NA(),D6-C6)</f>
        <v/>
      </c>
      <c r="H6" s="16">
        <f>IF(ISNA(D6),NA(),IF(E6=0,NA(),D6/E6))</f>
        <v/>
      </c>
      <c r="I6" s="16">
        <f>IF(ISNA(D6),NA(),IF(C6=0,NA(),D6/C6))</f>
        <v/>
      </c>
      <c r="J6" s="17">
        <f>IF(ISNA(D6),NA(),D6/Inputs!$C$24)</f>
        <v/>
      </c>
      <c r="K6" s="17">
        <f>IF(ISNA(E6),NA(),E6/Inputs!$C$24)</f>
        <v/>
      </c>
    </row>
    <row r="7">
      <c r="A7" s="4" t="n">
        <v>3</v>
      </c>
      <c r="B7" s="4" t="inlineStr">
        <is>
          <t>Jun-2026</t>
        </is>
      </c>
      <c r="C7" s="15">
        <f>SUM(Baseline!$C$5:E$23)</f>
        <v/>
      </c>
      <c r="D7" s="15">
        <f>SUMPRODUCT(Inputs!$C$5:$C$23,Inputs!L$5:L$23)</f>
        <v/>
      </c>
      <c r="E7" s="15">
        <f>SUM(Inputs!$D$5:F$23)</f>
        <v/>
      </c>
      <c r="F7" s="15">
        <f>IF(ISNA(D7),NA(),D7-E7)</f>
        <v/>
      </c>
      <c r="G7" s="15">
        <f>IF(ISNA(D7),NA(),D7-C7)</f>
        <v/>
      </c>
      <c r="H7" s="16">
        <f>IF(ISNA(D7),NA(),IF(E7=0,NA(),D7/E7))</f>
        <v/>
      </c>
      <c r="I7" s="16">
        <f>IF(ISNA(D7),NA(),IF(C7=0,NA(),D7/C7))</f>
        <v/>
      </c>
      <c r="J7" s="17">
        <f>IF(ISNA(D7),NA(),D7/Inputs!$C$24)</f>
        <v/>
      </c>
      <c r="K7" s="17">
        <f>IF(ISNA(E7),NA(),E7/Inputs!$C$24)</f>
        <v/>
      </c>
    </row>
    <row r="8">
      <c r="A8" s="4" t="n">
        <v>4</v>
      </c>
      <c r="B8" s="4" t="inlineStr">
        <is>
          <t>Jul-2026</t>
        </is>
      </c>
      <c r="C8" s="15">
        <f>SUM(Baseline!$C$5:F$23)</f>
        <v/>
      </c>
      <c r="D8" s="15">
        <f>SUMPRODUCT(Inputs!$C$5:$C$23,Inputs!M$5:M$23)</f>
        <v/>
      </c>
      <c r="E8" s="15">
        <f>SUM(Inputs!$D$5:G$23)</f>
        <v/>
      </c>
      <c r="F8" s="15">
        <f>IF(ISNA(D8),NA(),D8-E8)</f>
        <v/>
      </c>
      <c r="G8" s="15">
        <f>IF(ISNA(D8),NA(),D8-C8)</f>
        <v/>
      </c>
      <c r="H8" s="16">
        <f>IF(ISNA(D8),NA(),IF(E8=0,NA(),D8/E8))</f>
        <v/>
      </c>
      <c r="I8" s="16">
        <f>IF(ISNA(D8),NA(),IF(C8=0,NA(),D8/C8))</f>
        <v/>
      </c>
      <c r="J8" s="17">
        <f>IF(ISNA(D8),NA(),D8/Inputs!$C$24)</f>
        <v/>
      </c>
      <c r="K8" s="17">
        <f>IF(ISNA(E8),NA(),E8/Inputs!$C$24)</f>
        <v/>
      </c>
    </row>
    <row r="9">
      <c r="A9" s="4" t="n">
        <v>5</v>
      </c>
      <c r="B9" s="4" t="inlineStr">
        <is>
          <t>Aug-2026</t>
        </is>
      </c>
      <c r="C9" s="15">
        <f>SUM(Baseline!$C$5:G$23)</f>
        <v/>
      </c>
      <c r="D9" s="15">
        <f>SUMPRODUCT(Inputs!$C$5:$C$23,Inputs!N$5:N$23)</f>
        <v/>
      </c>
      <c r="E9" s="15">
        <f>SUM(Inputs!$D$5:H$23)</f>
        <v/>
      </c>
      <c r="F9" s="15">
        <f>IF(ISNA(D9),NA(),D9-E9)</f>
        <v/>
      </c>
      <c r="G9" s="15">
        <f>IF(ISNA(D9),NA(),D9-C9)</f>
        <v/>
      </c>
      <c r="H9" s="16">
        <f>IF(ISNA(D9),NA(),IF(E9=0,NA(),D9/E9))</f>
        <v/>
      </c>
      <c r="I9" s="16">
        <f>IF(ISNA(D9),NA(),IF(C9=0,NA(),D9/C9))</f>
        <v/>
      </c>
      <c r="J9" s="17">
        <f>IF(ISNA(D9),NA(),D9/Inputs!$C$24)</f>
        <v/>
      </c>
      <c r="K9" s="17">
        <f>IF(ISNA(E9),NA(),E9/Inputs!$C$24)</f>
        <v/>
      </c>
    </row>
    <row r="10">
      <c r="A10" s="4" t="n">
        <v>6</v>
      </c>
      <c r="B10" s="4" t="inlineStr">
        <is>
          <t>Sep-2026</t>
        </is>
      </c>
      <c r="C10" s="15">
        <f>SUM(Baseline!$C$5:H$23)</f>
        <v/>
      </c>
      <c r="D10" s="15">
        <f>SUMPRODUCT(Inputs!$C$5:$C$23,Inputs!O$5:O$23)</f>
        <v/>
      </c>
      <c r="E10" s="15">
        <f>SUM(Inputs!$D$5:I$23)</f>
        <v/>
      </c>
      <c r="F10" s="15">
        <f>IF(ISNA(D10),NA(),D10-E10)</f>
        <v/>
      </c>
      <c r="G10" s="15">
        <f>IF(ISNA(D10),NA(),D10-C10)</f>
        <v/>
      </c>
      <c r="H10" s="16">
        <f>IF(ISNA(D10),NA(),IF(E10=0,NA(),D10/E10))</f>
        <v/>
      </c>
      <c r="I10" s="16">
        <f>IF(ISNA(D10),NA(),IF(C10=0,NA(),D10/C10))</f>
        <v/>
      </c>
      <c r="J10" s="17">
        <f>IF(ISNA(D10),NA(),D10/Inputs!$C$24)</f>
        <v/>
      </c>
      <c r="K10" s="17">
        <f>IF(ISNA(E10),NA(),E10/Inputs!$C$24)</f>
        <v/>
      </c>
    </row>
    <row r="11">
      <c r="A11" s="4" t="n">
        <v>7</v>
      </c>
      <c r="B11" s="4" t="inlineStr">
        <is>
          <t>Oct-2026</t>
        </is>
      </c>
      <c r="C11" s="15">
        <f>SUM(Baseline!$C$5:I$23)</f>
        <v/>
      </c>
      <c r="D11" s="15">
        <f>NA()</f>
        <v/>
      </c>
      <c r="E11" s="15">
        <f>NA()</f>
        <v/>
      </c>
      <c r="F11" s="15">
        <f>IF(ISNA(D11),NA(),D11-E11)</f>
        <v/>
      </c>
      <c r="G11" s="15">
        <f>IF(ISNA(D11),NA(),D11-C11)</f>
        <v/>
      </c>
      <c r="H11" s="16">
        <f>IF(ISNA(D11),NA(),IF(E11=0,NA(),D11/E11))</f>
        <v/>
      </c>
      <c r="I11" s="16">
        <f>IF(ISNA(D11),NA(),IF(C11=0,NA(),D11/C11))</f>
        <v/>
      </c>
      <c r="J11" s="17">
        <f>IF(ISNA(D11),NA(),D11/Inputs!$C$24)</f>
        <v/>
      </c>
      <c r="K11" s="17">
        <f>IF(ISNA(E11),NA(),E11/Inputs!$C$24)</f>
        <v/>
      </c>
    </row>
    <row r="12">
      <c r="A12" s="4" t="n">
        <v>8</v>
      </c>
      <c r="B12" s="4" t="inlineStr">
        <is>
          <t>Nov-2026</t>
        </is>
      </c>
      <c r="C12" s="15">
        <f>SUM(Baseline!$C$5:J$23)</f>
        <v/>
      </c>
      <c r="D12" s="15">
        <f>NA()</f>
        <v/>
      </c>
      <c r="E12" s="15">
        <f>NA()</f>
        <v/>
      </c>
      <c r="F12" s="15">
        <f>IF(ISNA(D12),NA(),D12-E12)</f>
        <v/>
      </c>
      <c r="G12" s="15">
        <f>IF(ISNA(D12),NA(),D12-C12)</f>
        <v/>
      </c>
      <c r="H12" s="16">
        <f>IF(ISNA(D12),NA(),IF(E12=0,NA(),D12/E12))</f>
        <v/>
      </c>
      <c r="I12" s="16">
        <f>IF(ISNA(D12),NA(),IF(C12=0,NA(),D12/C12))</f>
        <v/>
      </c>
      <c r="J12" s="17">
        <f>IF(ISNA(D12),NA(),D12/Inputs!$C$24)</f>
        <v/>
      </c>
      <c r="K12" s="17">
        <f>IF(ISNA(E12),NA(),E12/Inputs!$C$24)</f>
        <v/>
      </c>
    </row>
    <row r="13">
      <c r="A13" s="4" t="n">
        <v>9</v>
      </c>
      <c r="B13" s="4" t="inlineStr">
        <is>
          <t>Dec-2026</t>
        </is>
      </c>
      <c r="C13" s="15">
        <f>SUM(Baseline!$C$5:K$23)</f>
        <v/>
      </c>
      <c r="D13" s="15">
        <f>NA()</f>
        <v/>
      </c>
      <c r="E13" s="15">
        <f>NA()</f>
        <v/>
      </c>
      <c r="F13" s="15">
        <f>IF(ISNA(D13),NA(),D13-E13)</f>
        <v/>
      </c>
      <c r="G13" s="15">
        <f>IF(ISNA(D13),NA(),D13-C13)</f>
        <v/>
      </c>
      <c r="H13" s="16">
        <f>IF(ISNA(D13),NA(),IF(E13=0,NA(),D13/E13))</f>
        <v/>
      </c>
      <c r="I13" s="16">
        <f>IF(ISNA(D13),NA(),IF(C13=0,NA(),D13/C13))</f>
        <v/>
      </c>
      <c r="J13" s="17">
        <f>IF(ISNA(D13),NA(),D13/Inputs!$C$24)</f>
        <v/>
      </c>
      <c r="K13" s="17">
        <f>IF(ISNA(E13),NA(),E13/Inputs!$C$24)</f>
        <v/>
      </c>
    </row>
    <row r="14">
      <c r="A14" s="4" t="n">
        <v>10</v>
      </c>
      <c r="B14" s="4" t="inlineStr">
        <is>
          <t>Jan-2027</t>
        </is>
      </c>
      <c r="C14" s="15">
        <f>SUM(Baseline!$C$5:L$23)</f>
        <v/>
      </c>
      <c r="D14" s="15">
        <f>NA()</f>
        <v/>
      </c>
      <c r="E14" s="15">
        <f>NA()</f>
        <v/>
      </c>
      <c r="F14" s="15">
        <f>IF(ISNA(D14),NA(),D14-E14)</f>
        <v/>
      </c>
      <c r="G14" s="15">
        <f>IF(ISNA(D14),NA(),D14-C14)</f>
        <v/>
      </c>
      <c r="H14" s="16">
        <f>IF(ISNA(D14),NA(),IF(E14=0,NA(),D14/E14))</f>
        <v/>
      </c>
      <c r="I14" s="16">
        <f>IF(ISNA(D14),NA(),IF(C14=0,NA(),D14/C14))</f>
        <v/>
      </c>
      <c r="J14" s="17">
        <f>IF(ISNA(D14),NA(),D14/Inputs!$C$24)</f>
        <v/>
      </c>
      <c r="K14" s="17">
        <f>IF(ISNA(E14),NA(),E14/Inputs!$C$24)</f>
        <v/>
      </c>
    </row>
    <row r="15">
      <c r="A15" s="4" t="n">
        <v>11</v>
      </c>
      <c r="B15" s="4" t="inlineStr">
        <is>
          <t>Feb-2027</t>
        </is>
      </c>
      <c r="C15" s="15">
        <f>SUM(Baseline!$C$5:M$23)</f>
        <v/>
      </c>
      <c r="D15" s="15">
        <f>NA()</f>
        <v/>
      </c>
      <c r="E15" s="15">
        <f>NA()</f>
        <v/>
      </c>
      <c r="F15" s="15">
        <f>IF(ISNA(D15),NA(),D15-E15)</f>
        <v/>
      </c>
      <c r="G15" s="15">
        <f>IF(ISNA(D15),NA(),D15-C15)</f>
        <v/>
      </c>
      <c r="H15" s="16">
        <f>IF(ISNA(D15),NA(),IF(E15=0,NA(),D15/E15))</f>
        <v/>
      </c>
      <c r="I15" s="16">
        <f>IF(ISNA(D15),NA(),IF(C15=0,NA(),D15/C15))</f>
        <v/>
      </c>
      <c r="J15" s="17">
        <f>IF(ISNA(D15),NA(),D15/Inputs!$C$24)</f>
        <v/>
      </c>
      <c r="K15" s="17">
        <f>IF(ISNA(E15),NA(),E15/Inputs!$C$24)</f>
        <v/>
      </c>
    </row>
    <row r="16">
      <c r="A16" s="4" t="n">
        <v>12</v>
      </c>
      <c r="B16" s="4" t="inlineStr">
        <is>
          <t>Mar-2027</t>
        </is>
      </c>
      <c r="C16" s="15">
        <f>SUM(Baseline!$C$5:N$23)</f>
        <v/>
      </c>
      <c r="D16" s="15">
        <f>NA()</f>
        <v/>
      </c>
      <c r="E16" s="15">
        <f>NA()</f>
        <v/>
      </c>
      <c r="F16" s="15">
        <f>IF(ISNA(D16),NA(),D16-E16)</f>
        <v/>
      </c>
      <c r="G16" s="15">
        <f>IF(ISNA(D16),NA(),D16-C16)</f>
        <v/>
      </c>
      <c r="H16" s="16">
        <f>IF(ISNA(D16),NA(),IF(E16=0,NA(),D16/E16))</f>
        <v/>
      </c>
      <c r="I16" s="16">
        <f>IF(ISNA(D16),NA(),IF(C16=0,NA(),D16/C16))</f>
        <v/>
      </c>
      <c r="J16" s="17">
        <f>IF(ISNA(D16),NA(),D16/Inputs!$C$24)</f>
        <v/>
      </c>
      <c r="K16" s="17">
        <f>IF(ISNA(E16),NA(),E16/Inputs!$C$24)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Cost and Schedule Variance by Work Package — Period 6</t>
        </is>
      </c>
    </row>
    <row r="2">
      <c r="A2" s="2" t="inlineStr">
        <is>
          <t>Where the project variance actually is. Only packages that have started.</t>
        </is>
      </c>
    </row>
    <row r="4" ht="30" customHeight="1">
      <c r="A4" s="10" t="inlineStr">
        <is>
          <t>WBS ID</t>
        </is>
      </c>
      <c r="B4" s="10" t="inlineStr">
        <is>
          <t>Work Package</t>
        </is>
      </c>
      <c r="C4" s="10" t="inlineStr">
        <is>
          <t>Budget</t>
        </is>
      </c>
      <c r="D4" s="10" t="inlineStr">
        <is>
          <t>EV</t>
        </is>
      </c>
      <c r="E4" s="10" t="inlineStr">
        <is>
          <t>AC</t>
        </is>
      </c>
      <c r="F4" s="10" t="inlineStr">
        <is>
          <t>CV</t>
        </is>
      </c>
      <c r="G4" s="10" t="inlineStr">
        <is>
          <t>CPI</t>
        </is>
      </c>
      <c r="H4" s="10" t="inlineStr">
        <is>
          <t>% complete</t>
        </is>
      </c>
    </row>
    <row r="5">
      <c r="A5" s="4" t="inlineStr">
        <is>
          <t>2.1</t>
        </is>
      </c>
      <c r="B5" s="4" t="inlineStr">
        <is>
          <t>Excavation and earthwork</t>
        </is>
      </c>
      <c r="C5" s="18" t="n">
        <v>4200000</v>
      </c>
      <c r="D5" s="18" t="n">
        <v>4200000</v>
      </c>
      <c r="E5" s="18" t="n">
        <v>6100000</v>
      </c>
      <c r="F5" s="19" t="n">
        <v>-1900000</v>
      </c>
      <c r="G5" s="20" t="n">
        <v>0.6885245901639344</v>
      </c>
      <c r="H5" s="21" t="n">
        <v>1</v>
      </c>
    </row>
    <row r="6">
      <c r="A6" s="4" t="inlineStr">
        <is>
          <t>2.3</t>
        </is>
      </c>
      <c r="B6" s="4" t="inlineStr">
        <is>
          <t>Foundation RCC up to plinth</t>
        </is>
      </c>
      <c r="C6" s="18" t="n">
        <v>9500000</v>
      </c>
      <c r="D6" s="18" t="n">
        <v>9500000</v>
      </c>
      <c r="E6" s="18" t="n">
        <v>10800000</v>
      </c>
      <c r="F6" s="19" t="n">
        <v>-1300000</v>
      </c>
      <c r="G6" s="20" t="n">
        <v>0.8796296296296297</v>
      </c>
      <c r="H6" s="21" t="n">
        <v>1</v>
      </c>
    </row>
    <row r="7">
      <c r="A7" s="4" t="inlineStr">
        <is>
          <t>2.2</t>
        </is>
      </c>
      <c r="B7" s="4" t="inlineStr">
        <is>
          <t>PCC and footings</t>
        </is>
      </c>
      <c r="C7" s="18" t="n">
        <v>6800000</v>
      </c>
      <c r="D7" s="18" t="n">
        <v>6800000</v>
      </c>
      <c r="E7" s="18" t="n">
        <v>7400000</v>
      </c>
      <c r="F7" s="19" t="n">
        <v>-600000</v>
      </c>
      <c r="G7" s="20" t="n">
        <v>0.918918918918919</v>
      </c>
      <c r="H7" s="21" t="n">
        <v>1</v>
      </c>
    </row>
    <row r="8">
      <c r="A8" s="4" t="inlineStr">
        <is>
          <t>3.1</t>
        </is>
      </c>
      <c r="B8" s="4" t="inlineStr">
        <is>
          <t>RCC columns, ground to fourth floor</t>
        </is>
      </c>
      <c r="C8" s="18" t="n">
        <v>14500000</v>
      </c>
      <c r="D8" s="18" t="n">
        <v>3190000</v>
      </c>
      <c r="E8" s="18" t="n">
        <v>3600000</v>
      </c>
      <c r="F8" s="19" t="n">
        <v>-410000</v>
      </c>
      <c r="G8" s="20" t="n">
        <v>0.8861111111111111</v>
      </c>
      <c r="H8" s="21" t="n">
        <v>0.22</v>
      </c>
    </row>
    <row r="9">
      <c r="A9" s="4" t="inlineStr">
        <is>
          <t>3.2</t>
        </is>
      </c>
      <c r="B9" s="4" t="inlineStr">
        <is>
          <t>RCC beams and slabs, ground to fourth floor</t>
        </is>
      </c>
      <c r="C9" s="18" t="n">
        <v>21000000</v>
      </c>
      <c r="D9" s="18" t="n">
        <v>2940000</v>
      </c>
      <c r="E9" s="18" t="n">
        <v>3300000</v>
      </c>
      <c r="F9" s="19" t="n">
        <v>-359999.9999999995</v>
      </c>
      <c r="G9" s="20" t="n">
        <v>0.8909090909090911</v>
      </c>
      <c r="H9" s="21" t="n">
        <v>0.14</v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18" t="n">
        <v>3800000</v>
      </c>
      <c r="D10" s="18" t="n">
        <v>3800000</v>
      </c>
      <c r="E10" s="18" t="n">
        <v>4100000</v>
      </c>
      <c r="F10" s="19" t="n">
        <v>-300000</v>
      </c>
      <c r="G10" s="20" t="n">
        <v>0.926829268292683</v>
      </c>
      <c r="H10" s="21" t="n">
        <v>1</v>
      </c>
    </row>
    <row r="11">
      <c r="A11" s="4" t="inlineStr">
        <is>
          <t>1.1</t>
        </is>
      </c>
      <c r="B11" s="4" t="inlineStr">
        <is>
          <t>Site mobilisation and enabling works</t>
        </is>
      </c>
      <c r="C11" s="18" t="n">
        <v>2500000</v>
      </c>
      <c r="D11" s="18" t="n">
        <v>2500000</v>
      </c>
      <c r="E11" s="18" t="n">
        <v>2700000</v>
      </c>
      <c r="F11" s="19" t="n">
        <v>-200000</v>
      </c>
      <c r="G11" s="20" t="n">
        <v>0.9259259259259259</v>
      </c>
      <c r="H11" s="21" t="n">
        <v>1</v>
      </c>
    </row>
    <row r="12">
      <c r="A12" s="4" t="inlineStr">
        <is>
          <t>1.2</t>
        </is>
      </c>
      <c r="B12" s="4" t="inlineStr">
        <is>
          <t>Site office, stores and labour accommodation</t>
        </is>
      </c>
      <c r="C12" s="18" t="n">
        <v>1800000</v>
      </c>
      <c r="D12" s="18" t="n">
        <v>1800000</v>
      </c>
      <c r="E12" s="18" t="n">
        <v>1850000</v>
      </c>
      <c r="F12" s="19" t="n">
        <v>-50000</v>
      </c>
      <c r="G12" s="20" t="n">
        <v>0.972972972972973</v>
      </c>
      <c r="H12" s="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About this workbook</t>
        </is>
      </c>
    </row>
    <row r="2">
      <c r="A2" t="inlineStr"/>
    </row>
    <row r="3">
      <c r="A3" t="inlineStr">
        <is>
          <t>Exported from the CE725 EVM Dashboard for Academic Block (G+4 RCC) - Institutional Campus.</t>
        </is>
      </c>
    </row>
    <row r="4">
      <c r="A4" t="inlineStr">
        <is>
          <t>Data date: end of Period 6 (Sep-2026).</t>
        </is>
      </c>
    </row>
    <row r="5">
      <c r="A5" t="inlineStr"/>
    </row>
    <row r="6">
      <c r="A6" t="inlineStr">
        <is>
          <t>LIVE, NOT A SNAPSHOT</t>
        </is>
      </c>
    </row>
    <row r="7">
      <c r="A7" t="inlineStr"/>
    </row>
    <row r="8">
      <c r="A8" t="inlineStr">
        <is>
          <t>Every figure on the Dashboard and EVM sheets is an Excel formula. Edit any</t>
        </is>
      </c>
    </row>
    <row r="9">
      <c r="A9" t="inlineStr">
        <is>
          <t>yellow cell on Inputs or Baseline and the whole workbook recalculates. That</t>
        </is>
      </c>
    </row>
    <row r="10">
      <c r="A10" t="inlineStr">
        <is>
          <t>is the point: the numbers can be interrogated and re-run without the tool.</t>
        </is>
      </c>
    </row>
    <row r="11">
      <c r="A11" t="inlineStr"/>
    </row>
    <row r="12">
      <c r="A12" t="inlineStr">
        <is>
          <t>WHAT TO EDIT</t>
        </is>
      </c>
    </row>
    <row r="13">
      <c r="A13" t="inlineStr"/>
    </row>
    <row r="14">
      <c r="A14" t="inlineStr">
        <is>
          <t xml:space="preserve">    Inputs    budgets, actual cost per period, percent complete per period</t>
        </is>
      </c>
    </row>
    <row r="15">
      <c r="A15" t="inlineStr">
        <is>
          <t xml:space="preserve">    Baseline  the time-phased budget</t>
        </is>
      </c>
    </row>
    <row r="16">
      <c r="A16" t="inlineStr"/>
    </row>
    <row r="17">
      <c r="A17" t="inlineStr">
        <is>
          <t>Nothing else is meant to be typed into.</t>
        </is>
      </c>
    </row>
    <row r="18">
      <c r="A18" t="inlineStr"/>
    </row>
    <row r="19">
      <c r="A19" t="inlineStr">
        <is>
          <t>LIMITATIONS</t>
        </is>
      </c>
    </row>
    <row r="20">
      <c r="A20" t="inlineStr"/>
    </row>
    <row r="21">
      <c r="A21" t="inlineStr">
        <is>
          <t>1. Earned value is only as good as the percent-complete figures on the</t>
        </is>
      </c>
    </row>
    <row r="22">
      <c r="A22" t="inlineStr">
        <is>
          <t xml:space="preserve">   Inputs sheet. Those are a judgement made at site. Neither this workbook</t>
        </is>
      </c>
    </row>
    <row r="23">
      <c r="A23" t="inlineStr">
        <is>
          <t xml:space="preserve">   nor the tool can detect an optimistic one, and an optimistic percent</t>
        </is>
      </c>
    </row>
    <row r="24">
      <c r="A24" t="inlineStr">
        <is>
          <t xml:space="preserve">   complete produces a confident, wrong EV.</t>
        </is>
      </c>
    </row>
    <row r="25">
      <c r="A25" t="inlineStr">
        <is>
          <t>2. There is one baseline. Re-baselining is not modelled.</t>
        </is>
      </c>
    </row>
    <row r="26">
      <c r="A26" t="inlineStr">
        <is>
          <t>3. Earned Schedule is computed in the dashboard application, not here.</t>
        </is>
      </c>
    </row>
    <row r="27">
      <c r="A27" t="inlineStr">
        <is>
          <t>4. The forecast assumes work continues. A suspended project needs a</t>
        </is>
      </c>
    </row>
    <row r="28">
      <c r="A28" t="inlineStr">
        <is>
          <t xml:space="preserve">   re-baseline, not an extrapolation.</t>
        </is>
      </c>
    </row>
    <row r="29">
      <c r="A29" t="inlineStr"/>
    </row>
    <row r="30">
      <c r="A30" t="inlineStr">
        <is>
          <t>POSITION AT EXPORT</t>
        </is>
      </c>
    </row>
    <row r="31">
      <c r="A31" t="inlineStr"/>
    </row>
    <row r="32">
      <c r="A32" t="inlineStr">
        <is>
          <t xml:space="preserve">    CPI 0.872    SPI 0.863    complete 24.8%    spent 28.5%</t>
        </is>
      </c>
    </row>
    <row r="33">
      <c r="A33" t="inlineStr"/>
    </row>
    <row r="34">
      <c r="A34" t="inlineStr">
        <is>
          <t>These figures are stated here for reference only. The Dashboard sheet</t>
        </is>
      </c>
    </row>
    <row r="35">
      <c r="A35" t="inlineStr">
        <is>
          <t>recomputes them from the inputs and is what should be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2026-10-29T17:24:54Z</dcterms:created>
  <dcterms:modified xsi:type="dcterms:W3CDTF">2026-10-29T17:24:54Z</dcterms:modified>
</cp:coreProperties>
</file>