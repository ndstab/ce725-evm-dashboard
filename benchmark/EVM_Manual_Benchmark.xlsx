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Baseline" sheetId="3" state="visible" r:id="rId3"/>
    <sheet name="Calc P5" sheetId="4" state="visible" r:id="rId4"/>
    <sheet name="Calc P6" sheetId="5" state="visible" r:id="rId5"/>
    <sheet name="Ind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  <sz val="10"/>
    </font>
    <font>
      <b val="1"/>
    </font>
    <font>
      <color rgb="00595959"/>
      <sz val="9"/>
    </font>
    <font>
      <b val="1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3" borderId="1" pivotButton="0" quotePrefix="0" xfId="0"/>
    <xf numFmtId="10" fontId="0" fillId="3" borderId="1" pivotButton="0" quotePrefix="0" xfId="0"/>
    <xf numFmtId="0" fontId="4" fillId="0" borderId="0" pivotButton="0" quotePrefix="0" xfId="0"/>
    <xf numFmtId="4" fontId="4" fillId="4" borderId="1" pivotButton="0" quotePrefix="0" xfId="0"/>
    <xf numFmtId="4" fontId="4" fillId="5" borderId="1" pivotButton="0" quotePrefix="0" xfId="0"/>
    <xf numFmtId="4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4" fontId="0" fillId="0" borderId="1" pivotButton="0" quotePrefix="0" xfId="0"/>
    <xf numFmtId="10" fontId="0" fillId="0" borderId="1" pivotButton="0" quotePrefix="0" xfId="0"/>
    <xf numFmtId="164" fontId="0" fillId="5" borderId="1" pivotButton="0" quotePrefix="0" xfId="0"/>
    <xf numFmtId="164" fontId="4" fillId="4" borderId="1" pivotButton="0" quotePrefix="0" xfId="0"/>
    <xf numFmtId="0" fontId="5" fillId="0" borderId="1" pivotButton="0" quotePrefix="0" xfId="0"/>
    <xf numFmtId="4" fontId="6" fillId="5" borderId="1" pivotButton="0" quotePrefix="0" xfId="0"/>
    <xf numFmtId="0" fontId="2" fillId="0" borderId="1" applyAlignment="1" pivotButton="0" quotePrefix="0" xfId="0">
      <alignment horizontal="center"/>
    </xf>
    <xf numFmtId="10" fontId="6" fillId="5" borderId="1" pivotButton="0" quotePrefix="0" xfId="0"/>
    <xf numFmtId="164" fontId="6" fillId="5" borderId="1" pivotButton="0" quotePrefix="0" xfId="0"/>
    <xf numFmtId="1" fontId="6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Manual Benchmark Workbook — Earned Value Management</t>
        </is>
      </c>
    </row>
    <row r="3">
      <c r="A3" t="inlineStr"/>
    </row>
    <row r="4">
      <c r="A4" t="inlineStr">
        <is>
          <t>Project      Academic Block (G+4 RCC) - Institutional Campus</t>
        </is>
      </c>
    </row>
    <row r="5">
      <c r="A5" t="inlineStr">
        <is>
          <t>Code         CE725-CASE-01</t>
        </is>
      </c>
    </row>
    <row r="6">
      <c r="A6" t="inlineStr">
        <is>
          <t>BAC          Rs 140,000,000.00</t>
        </is>
      </c>
    </row>
    <row r="7">
      <c r="A7" t="inlineStr">
        <is>
          <t>Baseline     12 monthly periods</t>
        </is>
      </c>
    </row>
    <row r="8">
      <c r="A8" t="inlineStr">
        <is>
          <t>Data date    end of Period 6 (Sep-2026)</t>
        </is>
      </c>
    </row>
    <row r="9">
      <c r="A9" t="inlineStr">
        <is>
          <t>Benchmark    reporting periods 5 and 6</t>
        </is>
      </c>
    </row>
    <row r="10">
      <c r="A10" t="inlineStr"/>
    </row>
    <row r="11">
      <c r="A11" t="inlineStr">
        <is>
          <t>PURPOSE</t>
        </is>
      </c>
    </row>
    <row r="12">
      <c r="A12" t="inlineStr"/>
    </row>
    <row r="13">
      <c r="A13" t="inlineStr">
        <is>
          <t>This workbook is the independent manual benchmark for the EVM dashboard.</t>
        </is>
      </c>
    </row>
    <row r="14">
      <c r="A14" t="inlineStr">
        <is>
          <t>Every earned value figure in it is produced by a typed Excel formula acting</t>
        </is>
      </c>
    </row>
    <row r="15">
      <c r="A15" t="inlineStr">
        <is>
          <t>on the raw inputs on the 'Inputs' and 'Baseline' sheets. Click any green cell</t>
        </is>
      </c>
    </row>
    <row r="16">
      <c r="A16" t="inlineStr">
        <is>
          <t>to see the arithmetic. No value here is copied from the Python tool.</t>
        </is>
      </c>
    </row>
    <row r="17">
      <c r="A17" t="inlineStr"/>
    </row>
    <row r="18">
      <c r="A18" t="inlineStr">
        <is>
          <t>WHAT IT PROVES</t>
        </is>
      </c>
    </row>
    <row r="19">
      <c r="A19" t="inlineStr"/>
    </row>
    <row r="20">
      <c r="A20" t="inlineStr">
        <is>
          <t>That two separately written implementations of the EVM definitions agree:</t>
        </is>
      </c>
    </row>
    <row r="21">
      <c r="A21" t="inlineStr">
        <is>
          <t>one in Python (the evm package), one in Excel formulas (this workbook).</t>
        </is>
      </c>
    </row>
    <row r="22">
      <c r="A22" t="inlineStr">
        <is>
          <t>An arithmetic or logic error in one will not be reproduced by the other.</t>
        </is>
      </c>
    </row>
    <row r="23">
      <c r="A23" t="inlineStr"/>
    </row>
    <row r="24">
      <c r="A24" t="inlineStr">
        <is>
          <t>WHAT IT DOES NOT PROVE</t>
        </is>
      </c>
    </row>
    <row r="25">
      <c r="A25" t="inlineStr"/>
    </row>
    <row r="26">
      <c r="A26" t="inlineStr">
        <is>
          <t>That the inputs are right. Both implementations read the same budgets,</t>
        </is>
      </c>
    </row>
    <row r="27">
      <c r="A27" t="inlineStr">
        <is>
          <t>percent-complete figures and costs. If a work package is reported at 60%</t>
        </is>
      </c>
    </row>
    <row r="28">
      <c r="A28" t="inlineStr">
        <is>
          <t>complete when it is actually 40% complete, both will agree on an earned</t>
        </is>
      </c>
    </row>
    <row r="29">
      <c r="A29" t="inlineStr">
        <is>
          <t>value that is wrong by Rs lakhs. No spreadsheet can detect that; only a</t>
        </is>
      </c>
    </row>
    <row r="30">
      <c r="A30" t="inlineStr">
        <is>
          <t>measurement at site can. This is the single most important limitation of</t>
        </is>
      </c>
    </row>
    <row r="31">
      <c r="A31" t="inlineStr">
        <is>
          <t>the whole tool and it is stated again in the user manual.</t>
        </is>
      </c>
    </row>
    <row r="32">
      <c r="A32" t="inlineStr"/>
    </row>
    <row r="33">
      <c r="A33" t="inlineStr">
        <is>
          <t>COLOUR KEY</t>
        </is>
      </c>
    </row>
    <row r="34">
      <c r="A34" t="inlineStr"/>
    </row>
    <row r="35">
      <c r="A35" t="inlineStr">
        <is>
          <t xml:space="preserve">    Yellow   typed raw input, the only hand-entered numbers in the workbook</t>
        </is>
      </c>
    </row>
    <row r="36">
      <c r="A36" t="inlineStr">
        <is>
          <t xml:space="preserve">    Green    computed by an Excel formula</t>
        </is>
      </c>
    </row>
    <row r="37">
      <c r="A37" t="inlineStr">
        <is>
          <t xml:space="preserve">    Grey     totals</t>
        </is>
      </c>
    </row>
    <row r="38">
      <c r="A38" t="inlineStr"/>
    </row>
    <row r="39">
      <c r="A39" t="inlineStr">
        <is>
          <t>SHEETS</t>
        </is>
      </c>
    </row>
    <row r="40">
      <c r="A40" t="inlineStr"/>
    </row>
    <row r="41">
      <c r="A41" t="inlineStr">
        <is>
          <t xml:space="preserve">    Inputs      budgets, actual cost per period, percent complete per period</t>
        </is>
      </c>
    </row>
    <row r="42">
      <c r="A42" t="inlineStr">
        <is>
          <t xml:space="preserve">    Baseline    the time-phased budget and the cumulative planned value curve</t>
        </is>
      </c>
    </row>
    <row r="43">
      <c r="A43" t="inlineStr">
        <is>
          <t xml:space="preserve">    Calc P5     per-package earned value calculation at end of Period 5</t>
        </is>
      </c>
    </row>
    <row r="44">
      <c r="A44" t="inlineStr">
        <is>
          <t xml:space="preserve">    Calc P6     per-package earned value calculation at end of Period 6</t>
        </is>
      </c>
    </row>
    <row r="45">
      <c r="A45" t="inlineStr">
        <is>
          <t xml:space="preserve">    Indices     all EVM indices and forecasts for both periods, side by side</t>
        </is>
      </c>
    </row>
    <row r="46">
      <c r="A46" t="inlineStr"/>
    </row>
    <row r="47">
      <c r="A47" t="inlineStr">
        <is>
          <t>Generated by benchmark/build_benchmark.py. The script places formulas;</t>
        </is>
      </c>
    </row>
    <row r="48">
      <c r="A48" t="inlineStr">
        <is>
          <t>Excel evaluates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Raw Inputs</t>
        </is>
      </c>
    </row>
    <row r="2">
      <c r="A2" s="2" t="inlineStr">
        <is>
          <t>Hand-entered data. Every other number in this workbook is derived from these cells.</t>
        </is>
      </c>
    </row>
    <row r="4" ht="30" customHeight="1">
      <c r="A4" s="3" t="inlineStr">
        <is>
          <t>WBS ID</t>
        </is>
      </c>
      <c r="B4" s="3" t="inlineStr">
        <is>
          <t>Work Package</t>
        </is>
      </c>
      <c r="C4" s="3" t="inlineStr">
        <is>
          <t>Budget (Rs)</t>
        </is>
      </c>
      <c r="D4" s="3" t="inlineStr">
        <is>
          <t>AC P1</t>
        </is>
      </c>
      <c r="E4" s="3" t="inlineStr">
        <is>
          <t>AC P2</t>
        </is>
      </c>
      <c r="F4" s="3" t="inlineStr">
        <is>
          <t>AC P3</t>
        </is>
      </c>
      <c r="G4" s="3" t="inlineStr">
        <is>
          <t>AC P4</t>
        </is>
      </c>
      <c r="H4" s="3" t="inlineStr">
        <is>
          <t>AC P5</t>
        </is>
      </c>
      <c r="I4" s="3" t="inlineStr">
        <is>
          <t>AC P6</t>
        </is>
      </c>
      <c r="J4" s="3" t="inlineStr">
        <is>
          <t>%C P1</t>
        </is>
      </c>
      <c r="K4" s="3" t="inlineStr">
        <is>
          <t>%C P2</t>
        </is>
      </c>
      <c r="L4" s="3" t="inlineStr">
        <is>
          <t>%C P3</t>
        </is>
      </c>
      <c r="M4" s="3" t="inlineStr">
        <is>
          <t>%C P4</t>
        </is>
      </c>
      <c r="N4" s="3" t="inlineStr">
        <is>
          <t>%C P5</t>
        </is>
      </c>
      <c r="O4" s="3" t="inlineStr">
        <is>
          <t>%C P6</t>
        </is>
      </c>
    </row>
    <row r="5">
      <c r="A5" s="4" t="inlineStr">
        <is>
          <t>1.1</t>
        </is>
      </c>
      <c r="B5" s="4" t="inlineStr">
        <is>
          <t>Site mobilisation and enabling works</t>
        </is>
      </c>
      <c r="C5" s="5" t="n">
        <v>2500000</v>
      </c>
      <c r="D5" s="5" t="n">
        <v>1500000</v>
      </c>
      <c r="E5" s="5" t="n">
        <v>1200000</v>
      </c>
      <c r="F5" s="5" t="n">
        <v>0</v>
      </c>
      <c r="G5" s="5" t="n">
        <v>0</v>
      </c>
      <c r="H5" s="5" t="n">
        <v>0</v>
      </c>
      <c r="I5" s="5" t="n">
        <v>0</v>
      </c>
      <c r="J5" s="6" t="n">
        <v>0.55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</row>
    <row r="6">
      <c r="A6" s="4" t="inlineStr">
        <is>
          <t>1.2</t>
        </is>
      </c>
      <c r="B6" s="4" t="inlineStr">
        <is>
          <t>Site office, stores and labour accommodation</t>
        </is>
      </c>
      <c r="C6" s="5" t="n">
        <v>1800000</v>
      </c>
      <c r="D6" s="5" t="n">
        <v>950000</v>
      </c>
      <c r="E6" s="5" t="n">
        <v>900000</v>
      </c>
      <c r="F6" s="5" t="n">
        <v>0</v>
      </c>
      <c r="G6" s="5" t="n">
        <v>0</v>
      </c>
      <c r="H6" s="5" t="n">
        <v>0</v>
      </c>
      <c r="I6" s="5" t="n">
        <v>0</v>
      </c>
      <c r="J6" s="6" t="n">
        <v>0.5</v>
      </c>
      <c r="K6" s="6" t="n">
        <v>1</v>
      </c>
      <c r="L6" s="6" t="n">
        <v>1</v>
      </c>
      <c r="M6" s="6" t="n">
        <v>1</v>
      </c>
      <c r="N6" s="6" t="n">
        <v>1</v>
      </c>
      <c r="O6" s="6" t="n">
        <v>1</v>
      </c>
    </row>
    <row r="7">
      <c r="A7" s="4" t="inlineStr">
        <is>
          <t>2.1</t>
        </is>
      </c>
      <c r="B7" s="4" t="inlineStr">
        <is>
          <t>Excavation and earthwork</t>
        </is>
      </c>
      <c r="C7" s="5" t="n">
        <v>4200000</v>
      </c>
      <c r="D7" s="5" t="n">
        <v>1100000</v>
      </c>
      <c r="E7" s="5" t="n">
        <v>1500000</v>
      </c>
      <c r="F7" s="5" t="n">
        <v>1650000</v>
      </c>
      <c r="G7" s="5" t="n">
        <v>1100000</v>
      </c>
      <c r="H7" s="5" t="n">
        <v>750000</v>
      </c>
      <c r="I7" s="5" t="n">
        <v>0</v>
      </c>
      <c r="J7" s="6" t="n">
        <v>0.2</v>
      </c>
      <c r="K7" s="6" t="n">
        <v>0.45</v>
      </c>
      <c r="L7" s="6" t="n">
        <v>0.72</v>
      </c>
      <c r="M7" s="6" t="n">
        <v>0.9</v>
      </c>
      <c r="N7" s="6" t="n">
        <v>1</v>
      </c>
      <c r="O7" s="6" t="n">
        <v>1</v>
      </c>
    </row>
    <row r="8">
      <c r="A8" s="4" t="inlineStr">
        <is>
          <t>2.2</t>
        </is>
      </c>
      <c r="B8" s="4" t="inlineStr">
        <is>
          <t>PCC and footings</t>
        </is>
      </c>
      <c r="C8" s="5" t="n">
        <v>6800000</v>
      </c>
      <c r="D8" s="5" t="n">
        <v>0</v>
      </c>
      <c r="E8" s="5" t="n">
        <v>1100000</v>
      </c>
      <c r="F8" s="5" t="n">
        <v>1950000</v>
      </c>
      <c r="G8" s="5" t="n">
        <v>2500000</v>
      </c>
      <c r="H8" s="5" t="n">
        <v>1850000</v>
      </c>
      <c r="I8" s="5" t="n">
        <v>0</v>
      </c>
      <c r="J8" s="6" t="n">
        <v>0</v>
      </c>
      <c r="K8" s="6" t="n">
        <v>0.15</v>
      </c>
      <c r="L8" s="6" t="n">
        <v>0.42</v>
      </c>
      <c r="M8" s="6" t="n">
        <v>0.78</v>
      </c>
      <c r="N8" s="6" t="n">
        <v>1</v>
      </c>
      <c r="O8" s="6" t="n">
        <v>1</v>
      </c>
    </row>
    <row r="9">
      <c r="A9" s="4" t="inlineStr">
        <is>
          <t>2.3</t>
        </is>
      </c>
      <c r="B9" s="4" t="inlineStr">
        <is>
          <t>Foundation RCC up to plinth</t>
        </is>
      </c>
      <c r="C9" s="5" t="n">
        <v>9500000</v>
      </c>
      <c r="D9" s="5" t="n">
        <v>0</v>
      </c>
      <c r="E9" s="5" t="n">
        <v>0</v>
      </c>
      <c r="F9" s="5" t="n">
        <v>1900000</v>
      </c>
      <c r="G9" s="5" t="n">
        <v>3000000</v>
      </c>
      <c r="H9" s="5" t="n">
        <v>3400000</v>
      </c>
      <c r="I9" s="5" t="n">
        <v>2500000</v>
      </c>
      <c r="J9" s="6" t="n">
        <v>0</v>
      </c>
      <c r="K9" s="6" t="n">
        <v>0</v>
      </c>
      <c r="L9" s="6" t="n">
        <v>0.18</v>
      </c>
      <c r="M9" s="6" t="n">
        <v>0.46</v>
      </c>
      <c r="N9" s="6" t="n">
        <v>0.8</v>
      </c>
      <c r="O9" s="6" t="n">
        <v>1</v>
      </c>
    </row>
    <row r="10">
      <c r="A10" s="4" t="inlineStr">
        <is>
          <t>2.4</t>
        </is>
      </c>
      <c r="B10" s="4" t="inlineStr">
        <is>
          <t>Plinth beams and backfilling</t>
        </is>
      </c>
      <c r="C10" s="5" t="n">
        <v>3800000</v>
      </c>
      <c r="D10" s="5" t="n">
        <v>0</v>
      </c>
      <c r="E10" s="5" t="n">
        <v>0</v>
      </c>
      <c r="F10" s="5" t="n">
        <v>0</v>
      </c>
      <c r="G10" s="5" t="n">
        <v>850000</v>
      </c>
      <c r="H10" s="5" t="n">
        <v>1600000</v>
      </c>
      <c r="I10" s="5" t="n">
        <v>1650000</v>
      </c>
      <c r="J10" s="6" t="n">
        <v>0</v>
      </c>
      <c r="K10" s="6" t="n">
        <v>0</v>
      </c>
      <c r="L10" s="6" t="n">
        <v>0</v>
      </c>
      <c r="M10" s="6" t="n">
        <v>0.2</v>
      </c>
      <c r="N10" s="6" t="n">
        <v>0.62</v>
      </c>
      <c r="O10" s="6" t="n">
        <v>1</v>
      </c>
    </row>
    <row r="11">
      <c r="A11" s="4" t="inlineStr">
        <is>
          <t>3.1</t>
        </is>
      </c>
      <c r="B11" s="4" t="inlineStr">
        <is>
          <t>RCC columns, ground to fourth floor</t>
        </is>
      </c>
      <c r="C11" s="5" t="n">
        <v>14500000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1300000</v>
      </c>
      <c r="I11" s="5" t="n">
        <v>2300000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0.08</v>
      </c>
      <c r="O11" s="6" t="n">
        <v>0.22</v>
      </c>
    </row>
    <row r="12">
      <c r="A12" s="4" t="inlineStr">
        <is>
          <t>3.2</t>
        </is>
      </c>
      <c r="B12" s="4" t="inlineStr">
        <is>
          <t>RCC beams and slabs, ground to fourth floor</t>
        </is>
      </c>
      <c r="C12" s="5" t="n">
        <v>21000000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1200000</v>
      </c>
      <c r="I12" s="5" t="n">
        <v>2100000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0.05</v>
      </c>
      <c r="O12" s="6" t="n">
        <v>0.14</v>
      </c>
    </row>
    <row r="13">
      <c r="A13" s="4" t="inlineStr">
        <is>
          <t>3.3</t>
        </is>
      </c>
      <c r="B13" s="4" t="inlineStr">
        <is>
          <t>Staircase and lift core RCC</t>
        </is>
      </c>
      <c r="C13" s="5" t="n">
        <v>5500000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inlineStr">
        <is>
          <t>4.1</t>
        </is>
      </c>
      <c r="B14" s="4" t="inlineStr">
        <is>
          <t>Block masonry</t>
        </is>
      </c>
      <c r="C14" s="5" t="n">
        <v>8800000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</row>
    <row r="15">
      <c r="A15" s="4" t="inlineStr">
        <is>
          <t>4.2</t>
        </is>
      </c>
      <c r="B15" s="4" t="inlineStr">
        <is>
          <t>Internal plaster</t>
        </is>
      </c>
      <c r="C15" s="5" t="n">
        <v>5200000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inlineStr">
        <is>
          <t>4.3</t>
        </is>
      </c>
      <c r="B16" s="4" t="inlineStr">
        <is>
          <t>External plaster and texture finish</t>
        </is>
      </c>
      <c r="C16" s="5" t="n">
        <v>4600000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4" t="inlineStr">
        <is>
          <t>4.4</t>
        </is>
      </c>
      <c r="B17" s="4" t="inlineStr">
        <is>
          <t>Flooring, vitrified tile and kota stone</t>
        </is>
      </c>
      <c r="C17" s="5" t="n">
        <v>9500000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inlineStr">
        <is>
          <t>4.5</t>
        </is>
      </c>
      <c r="B18" s="4" t="inlineStr">
        <is>
          <t>Painting, internal and external</t>
        </is>
      </c>
      <c r="C18" s="5" t="n">
        <v>6200000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</row>
    <row r="19">
      <c r="A19" s="4" t="inlineStr">
        <is>
          <t>5.1</t>
        </is>
      </c>
      <c r="B19" s="4" t="inlineStr">
        <is>
          <t>Internal electrification</t>
        </is>
      </c>
      <c r="C19" s="5" t="n">
        <v>10500000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inlineStr">
        <is>
          <t>5.2</t>
        </is>
      </c>
      <c r="B20" s="4" t="inlineStr">
        <is>
          <t>Plumbing and sanitary installation</t>
        </is>
      </c>
      <c r="C20" s="5" t="n">
        <v>7200000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</row>
    <row r="21">
      <c r="A21" s="4" t="inlineStr">
        <is>
          <t>5.3</t>
        </is>
      </c>
      <c r="B21" s="4" t="inlineStr">
        <is>
          <t>HVAC and fire fighting</t>
        </is>
      </c>
      <c r="C21" s="5" t="n">
        <v>9800000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inlineStr">
        <is>
          <t>6.1</t>
        </is>
      </c>
      <c r="B22" s="4" t="inlineStr">
        <is>
          <t>External development and landscaping</t>
        </is>
      </c>
      <c r="C22" s="5" t="n">
        <v>5800000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</row>
    <row r="23">
      <c r="A23" s="4" t="inlineStr">
        <is>
          <t>6.2</t>
        </is>
      </c>
      <c r="B23" s="4" t="inlineStr">
        <is>
          <t>Testing, commissioning and handover</t>
        </is>
      </c>
      <c r="C23" s="5" t="n">
        <v>2800000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B24" s="7" t="inlineStr">
        <is>
          <t>TOTAL</t>
        </is>
      </c>
      <c r="C24" s="8">
        <f>SUM(C5:C23)</f>
        <v/>
      </c>
      <c r="D24" s="8">
        <f>SUM(D5:D23)</f>
        <v/>
      </c>
      <c r="E24" s="8">
        <f>SUM(E5:E23)</f>
        <v/>
      </c>
      <c r="F24" s="8">
        <f>SUM(F5:F23)</f>
        <v/>
      </c>
      <c r="G24" s="8">
        <f>SUM(G5:G23)</f>
        <v/>
      </c>
      <c r="H24" s="8">
        <f>SUM(H5:H23)</f>
        <v/>
      </c>
      <c r="I24" s="8">
        <f>SUM(I5:I23)</f>
        <v/>
      </c>
    </row>
    <row r="26">
      <c r="B26" s="7" t="inlineStr">
        <is>
          <t>BAC (sum of work package budgets)</t>
        </is>
      </c>
      <c r="C26" s="9">
        <f>C24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5" customWidth="1" min="15" max="15"/>
    <col width="15" customWidth="1" min="16" max="16"/>
  </cols>
  <sheetData>
    <row r="1">
      <c r="A1" s="1" t="inlineStr">
        <is>
          <t>Time-Phased Budget (Planned Value)</t>
        </is>
      </c>
    </row>
    <row r="2">
      <c r="A2" s="2" t="inlineStr">
        <is>
          <t>Planned value per work package per baseline period. Row 'Cumulative PV' is the S-curve.</t>
        </is>
      </c>
    </row>
    <row r="4" ht="30" customHeight="1">
      <c r="A4" s="3" t="inlineStr">
        <is>
          <t>WBS ID</t>
        </is>
      </c>
      <c r="B4" s="3" t="inlineStr">
        <is>
          <t>Work Package</t>
        </is>
      </c>
      <c r="C4" s="3" t="inlineStr">
        <is>
          <t>PV P1</t>
        </is>
      </c>
      <c r="D4" s="3" t="inlineStr">
        <is>
          <t>PV P2</t>
        </is>
      </c>
      <c r="E4" s="3" t="inlineStr">
        <is>
          <t>PV P3</t>
        </is>
      </c>
      <c r="F4" s="3" t="inlineStr">
        <is>
          <t>PV P4</t>
        </is>
      </c>
      <c r="G4" s="3" t="inlineStr">
        <is>
          <t>PV P5</t>
        </is>
      </c>
      <c r="H4" s="3" t="inlineStr">
        <is>
          <t>PV P6</t>
        </is>
      </c>
      <c r="I4" s="3" t="inlineStr">
        <is>
          <t>PV P7</t>
        </is>
      </c>
      <c r="J4" s="3" t="inlineStr">
        <is>
          <t>PV P8</t>
        </is>
      </c>
      <c r="K4" s="3" t="inlineStr">
        <is>
          <t>PV P9</t>
        </is>
      </c>
      <c r="L4" s="3" t="inlineStr">
        <is>
          <t>PV P10</t>
        </is>
      </c>
      <c r="M4" s="3" t="inlineStr">
        <is>
          <t>PV P11</t>
        </is>
      </c>
      <c r="N4" s="3" t="inlineStr">
        <is>
          <t>PV P12</t>
        </is>
      </c>
      <c r="O4" s="3" t="inlineStr">
        <is>
          <t>Row total</t>
        </is>
      </c>
      <c r="P4" s="3" t="inlineStr">
        <is>
          <t>Budget check</t>
        </is>
      </c>
    </row>
    <row r="5">
      <c r="A5" s="4" t="inlineStr">
        <is>
          <t>1.1</t>
        </is>
      </c>
      <c r="B5" s="4" t="inlineStr">
        <is>
          <t>Site mobilisation and enabling works</t>
        </is>
      </c>
      <c r="C5" s="5" t="n">
        <v>1250000</v>
      </c>
      <c r="D5" s="5" t="n">
        <v>1250000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10">
        <f>SUM(C5:N5)</f>
        <v/>
      </c>
      <c r="P5" s="11">
        <f>IF(ROUND(O5-Inputs!C5,2)=0,"OK","MISMATCH")</f>
        <v/>
      </c>
    </row>
    <row r="6">
      <c r="A6" s="4" t="inlineStr">
        <is>
          <t>1.2</t>
        </is>
      </c>
      <c r="B6" s="4" t="inlineStr">
        <is>
          <t>Site office, stores and labour accommodation</t>
        </is>
      </c>
      <c r="C6" s="5" t="n">
        <v>900000</v>
      </c>
      <c r="D6" s="5" t="n">
        <v>900000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10">
        <f>SUM(C6:N6)</f>
        <v/>
      </c>
      <c r="P6" s="11">
        <f>IF(ROUND(O6-Inputs!C6,2)=0,"OK","MISMATCH")</f>
        <v/>
      </c>
    </row>
    <row r="7">
      <c r="A7" s="4" t="inlineStr">
        <is>
          <t>2.1</t>
        </is>
      </c>
      <c r="B7" s="4" t="inlineStr">
        <is>
          <t>Excavation and earthwork</t>
        </is>
      </c>
      <c r="C7" s="5" t="n">
        <v>1400000</v>
      </c>
      <c r="D7" s="5" t="n">
        <v>1400000</v>
      </c>
      <c r="E7" s="5" t="n">
        <v>1400000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10">
        <f>SUM(C7:N7)</f>
        <v/>
      </c>
      <c r="P7" s="11">
        <f>IF(ROUND(O7-Inputs!C7,2)=0,"OK","MISMATCH")</f>
        <v/>
      </c>
    </row>
    <row r="8">
      <c r="A8" s="4" t="inlineStr">
        <is>
          <t>2.2</t>
        </is>
      </c>
      <c r="B8" s="4" t="inlineStr">
        <is>
          <t>PCC and footings</t>
        </is>
      </c>
      <c r="C8" s="5" t="n">
        <v>0</v>
      </c>
      <c r="D8" s="5" t="n">
        <v>1762962.96</v>
      </c>
      <c r="E8" s="5" t="n">
        <v>3274074.07</v>
      </c>
      <c r="F8" s="5" t="n">
        <v>1762962.96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10">
        <f>SUM(C8:N8)</f>
        <v/>
      </c>
      <c r="P8" s="11">
        <f>IF(ROUND(O8-Inputs!C8,2)=0,"OK","MISMATCH")</f>
        <v/>
      </c>
    </row>
    <row r="9">
      <c r="A9" s="4" t="inlineStr">
        <is>
          <t>2.3</t>
        </is>
      </c>
      <c r="B9" s="4" t="inlineStr">
        <is>
          <t>Foundation RCC up to plinth</t>
        </is>
      </c>
      <c r="C9" s="5" t="n">
        <v>0</v>
      </c>
      <c r="D9" s="5" t="n">
        <v>0</v>
      </c>
      <c r="E9" s="5" t="n">
        <v>2462962.96</v>
      </c>
      <c r="F9" s="5" t="n">
        <v>4574074.07</v>
      </c>
      <c r="G9" s="5" t="n">
        <v>2462962.96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10">
        <f>SUM(C9:N9)</f>
        <v/>
      </c>
      <c r="P9" s="11">
        <f>IF(ROUND(O9-Inputs!C9,2)=0,"OK","MISMATCH")</f>
        <v/>
      </c>
    </row>
    <row r="10">
      <c r="A10" s="4" t="inlineStr">
        <is>
          <t>2.4</t>
        </is>
      </c>
      <c r="B10" s="4" t="inlineStr">
        <is>
          <t>Plinth beams and backfilling</t>
        </is>
      </c>
      <c r="C10" s="5" t="n">
        <v>0</v>
      </c>
      <c r="D10" s="5" t="n">
        <v>0</v>
      </c>
      <c r="E10" s="5" t="n">
        <v>0</v>
      </c>
      <c r="F10" s="5" t="n">
        <v>1900000</v>
      </c>
      <c r="G10" s="5" t="n">
        <v>1900000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10">
        <f>SUM(C10:N10)</f>
        <v/>
      </c>
      <c r="P10" s="11">
        <f>IF(ROUND(O10-Inputs!C10,2)=0,"OK","MISMATCH")</f>
        <v/>
      </c>
    </row>
    <row r="11">
      <c r="A11" s="4" t="inlineStr">
        <is>
          <t>3.1</t>
        </is>
      </c>
      <c r="B11" s="4" t="inlineStr">
        <is>
          <t>RCC columns, ground to fourth floor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1508000</v>
      </c>
      <c r="H11" s="5" t="n">
        <v>3596000</v>
      </c>
      <c r="I11" s="5" t="n">
        <v>4292000</v>
      </c>
      <c r="J11" s="5" t="n">
        <v>3596000</v>
      </c>
      <c r="K11" s="5" t="n">
        <v>1508000</v>
      </c>
      <c r="L11" s="5" t="n">
        <v>0</v>
      </c>
      <c r="M11" s="5" t="n">
        <v>0</v>
      </c>
      <c r="N11" s="5" t="n">
        <v>0</v>
      </c>
      <c r="O11" s="10">
        <f>SUM(C11:N11)</f>
        <v/>
      </c>
      <c r="P11" s="11">
        <f>IF(ROUND(O11-Inputs!C11,2)=0,"OK","MISMATCH")</f>
        <v/>
      </c>
    </row>
    <row r="12">
      <c r="A12" s="4" t="inlineStr">
        <is>
          <t>3.2</t>
        </is>
      </c>
      <c r="B12" s="4" t="inlineStr">
        <is>
          <t>RCC beams and slabs, ground to fourth floor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1555555.56</v>
      </c>
      <c r="H12" s="5" t="n">
        <v>3888888.89</v>
      </c>
      <c r="I12" s="5" t="n">
        <v>5055555.56</v>
      </c>
      <c r="J12" s="5" t="n">
        <v>5055555.56</v>
      </c>
      <c r="K12" s="5" t="n">
        <v>3888888.89</v>
      </c>
      <c r="L12" s="5" t="n">
        <v>1555555.56</v>
      </c>
      <c r="M12" s="5" t="n">
        <v>0</v>
      </c>
      <c r="N12" s="5" t="n">
        <v>0</v>
      </c>
      <c r="O12" s="10">
        <f>SUM(C12:N12)</f>
        <v/>
      </c>
      <c r="P12" s="11">
        <f>IF(ROUND(O12-Inputs!C12,2)=0,"OK","MISMATCH")</f>
        <v/>
      </c>
    </row>
    <row r="13">
      <c r="A13" s="4" t="inlineStr">
        <is>
          <t>3.3</t>
        </is>
      </c>
      <c r="B13" s="4" t="inlineStr">
        <is>
          <t>Staircase and lift core RCC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1100000</v>
      </c>
      <c r="I13" s="5" t="n">
        <v>1100000</v>
      </c>
      <c r="J13" s="5" t="n">
        <v>1100000</v>
      </c>
      <c r="K13" s="5" t="n">
        <v>1100000</v>
      </c>
      <c r="L13" s="5" t="n">
        <v>1100000</v>
      </c>
      <c r="M13" s="5" t="n">
        <v>0</v>
      </c>
      <c r="N13" s="5" t="n">
        <v>0</v>
      </c>
      <c r="O13" s="10">
        <f>SUM(C13:N13)</f>
        <v/>
      </c>
      <c r="P13" s="11">
        <f>IF(ROUND(O13-Inputs!C13,2)=0,"OK","MISMATCH")</f>
        <v/>
      </c>
    </row>
    <row r="14">
      <c r="A14" s="4" t="inlineStr">
        <is>
          <t>4.1</t>
        </is>
      </c>
      <c r="B14" s="4" t="inlineStr">
        <is>
          <t>Block masonry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915200</v>
      </c>
      <c r="J14" s="5" t="n">
        <v>2182400</v>
      </c>
      <c r="K14" s="5" t="n">
        <v>2604800</v>
      </c>
      <c r="L14" s="5" t="n">
        <v>2182400</v>
      </c>
      <c r="M14" s="5" t="n">
        <v>915200</v>
      </c>
      <c r="N14" s="5" t="n">
        <v>0</v>
      </c>
      <c r="O14" s="10">
        <f>SUM(C14:N14)</f>
        <v/>
      </c>
      <c r="P14" s="11">
        <f>IF(ROUND(O14-Inputs!C14,2)=0,"OK","MISMATCH")</f>
        <v/>
      </c>
    </row>
    <row r="15">
      <c r="A15" s="4" t="inlineStr">
        <is>
          <t>4.2</t>
        </is>
      </c>
      <c r="B15" s="4" t="inlineStr">
        <is>
          <t>Internal plaster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812500</v>
      </c>
      <c r="L15" s="5" t="n">
        <v>1787500</v>
      </c>
      <c r="M15" s="5" t="n">
        <v>1787500</v>
      </c>
      <c r="N15" s="5" t="n">
        <v>812500</v>
      </c>
      <c r="O15" s="10">
        <f>SUM(C15:N15)</f>
        <v/>
      </c>
      <c r="P15" s="11">
        <f>IF(ROUND(O15-Inputs!C15,2)=0,"OK","MISMATCH")</f>
        <v/>
      </c>
    </row>
    <row r="16">
      <c r="A16" s="4" t="inlineStr">
        <is>
          <t>4.3</t>
        </is>
      </c>
      <c r="B16" s="4" t="inlineStr">
        <is>
          <t>External plaster and texture finish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1150000</v>
      </c>
      <c r="L16" s="5" t="n">
        <v>1150000</v>
      </c>
      <c r="M16" s="5" t="n">
        <v>1150000</v>
      </c>
      <c r="N16" s="5" t="n">
        <v>1150000</v>
      </c>
      <c r="O16" s="10">
        <f>SUM(C16:N16)</f>
        <v/>
      </c>
      <c r="P16" s="11">
        <f>IF(ROUND(O16-Inputs!C16,2)=0,"OK","MISMATCH")</f>
        <v/>
      </c>
    </row>
    <row r="17">
      <c r="A17" s="4" t="inlineStr">
        <is>
          <t>4.4</t>
        </is>
      </c>
      <c r="B17" s="4" t="inlineStr">
        <is>
          <t>Flooring, vitrified tile and kota stone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2462962.96</v>
      </c>
      <c r="M17" s="5" t="n">
        <v>4574074.07</v>
      </c>
      <c r="N17" s="5" t="n">
        <v>2462962.96</v>
      </c>
      <c r="O17" s="10">
        <f>SUM(C17:N17)</f>
        <v/>
      </c>
      <c r="P17" s="11">
        <f>IF(ROUND(O17-Inputs!C17,2)=0,"OK","MISMATCH")</f>
        <v/>
      </c>
    </row>
    <row r="18">
      <c r="A18" s="4" t="inlineStr">
        <is>
          <t>4.5</t>
        </is>
      </c>
      <c r="B18" s="4" t="inlineStr">
        <is>
          <t>Painting, internal and external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3100000</v>
      </c>
      <c r="N18" s="5" t="n">
        <v>3100000</v>
      </c>
      <c r="O18" s="10">
        <f>SUM(C18:N18)</f>
        <v/>
      </c>
      <c r="P18" s="11">
        <f>IF(ROUND(O18-Inputs!C18,2)=0,"OK","MISMATCH")</f>
        <v/>
      </c>
    </row>
    <row r="19">
      <c r="A19" s="4" t="inlineStr">
        <is>
          <t>5.1</t>
        </is>
      </c>
      <c r="B19" s="4" t="inlineStr">
        <is>
          <t>Internal electrification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777777.78</v>
      </c>
      <c r="J19" s="5" t="n">
        <v>1944444.44</v>
      </c>
      <c r="K19" s="5" t="n">
        <v>2527777.78</v>
      </c>
      <c r="L19" s="5" t="n">
        <v>2527777.78</v>
      </c>
      <c r="M19" s="5" t="n">
        <v>1944444.44</v>
      </c>
      <c r="N19" s="5" t="n">
        <v>777777.78</v>
      </c>
      <c r="O19" s="10">
        <f>SUM(C19:N19)</f>
        <v/>
      </c>
      <c r="P19" s="11">
        <f>IF(ROUND(O19-Inputs!C19,2)=0,"OK","MISMATCH")</f>
        <v/>
      </c>
    </row>
    <row r="20">
      <c r="A20" s="4" t="inlineStr">
        <is>
          <t>5.2</t>
        </is>
      </c>
      <c r="B20" s="4" t="inlineStr">
        <is>
          <t>Plumbing and sanitary installation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533333.33</v>
      </c>
      <c r="J20" s="5" t="n">
        <v>1333333.33</v>
      </c>
      <c r="K20" s="5" t="n">
        <v>1733333.33</v>
      </c>
      <c r="L20" s="5" t="n">
        <v>1733333.33</v>
      </c>
      <c r="M20" s="5" t="n">
        <v>1333333.33</v>
      </c>
      <c r="N20" s="5" t="n">
        <v>533333.33</v>
      </c>
      <c r="O20" s="10">
        <f>SUM(C20:N20)</f>
        <v/>
      </c>
      <c r="P20" s="11">
        <f>IF(ROUND(O20-Inputs!C20,2)=0,"OK","MISMATCH")</f>
        <v/>
      </c>
    </row>
    <row r="21">
      <c r="A21" s="4" t="inlineStr">
        <is>
          <t>5.3</t>
        </is>
      </c>
      <c r="B21" s="4" t="inlineStr">
        <is>
          <t>HVAC and fire fighting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1531250</v>
      </c>
      <c r="L21" s="5" t="n">
        <v>3368750</v>
      </c>
      <c r="M21" s="5" t="n">
        <v>3368750</v>
      </c>
      <c r="N21" s="5" t="n">
        <v>1531250</v>
      </c>
      <c r="O21" s="10">
        <f>SUM(C21:N21)</f>
        <v/>
      </c>
      <c r="P21" s="11">
        <f>IF(ROUND(O21-Inputs!C21,2)=0,"OK","MISMATCH")</f>
        <v/>
      </c>
    </row>
    <row r="22">
      <c r="A22" s="4" t="inlineStr">
        <is>
          <t>6.1</t>
        </is>
      </c>
      <c r="B22" s="4" t="inlineStr">
        <is>
          <t>External development and landscaping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1933333.33</v>
      </c>
      <c r="M22" s="5" t="n">
        <v>1933333.33</v>
      </c>
      <c r="N22" s="5" t="n">
        <v>1933333.33</v>
      </c>
      <c r="O22" s="10">
        <f>SUM(C22:N22)</f>
        <v/>
      </c>
      <c r="P22" s="11">
        <f>IF(ROUND(O22-Inputs!C22,2)=0,"OK","MISMATCH")</f>
        <v/>
      </c>
    </row>
    <row r="23">
      <c r="A23" s="4" t="inlineStr">
        <is>
          <t>6.2</t>
        </is>
      </c>
      <c r="B23" s="4" t="inlineStr">
        <is>
          <t>Testing, commissioning and handover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2800000</v>
      </c>
      <c r="O23" s="10">
        <f>SUM(C23:N23)</f>
        <v/>
      </c>
      <c r="P23" s="11">
        <f>IF(ROUND(O23-Inputs!C23,2)=0,"OK","MISMATCH")</f>
        <v/>
      </c>
    </row>
    <row r="24">
      <c r="B24" s="7" t="inlineStr">
        <is>
          <t>TOTAL</t>
        </is>
      </c>
      <c r="C24" s="8">
        <f>SUM(C5:C23)</f>
        <v/>
      </c>
      <c r="D24" s="8">
        <f>SUM(D5:D23)</f>
        <v/>
      </c>
      <c r="E24" s="8">
        <f>SUM(E5:E23)</f>
        <v/>
      </c>
      <c r="F24" s="8">
        <f>SUM(F5:F23)</f>
        <v/>
      </c>
      <c r="G24" s="8">
        <f>SUM(G5:G23)</f>
        <v/>
      </c>
      <c r="H24" s="8">
        <f>SUM(H5:H23)</f>
        <v/>
      </c>
      <c r="I24" s="8">
        <f>SUM(I5:I23)</f>
        <v/>
      </c>
      <c r="J24" s="8">
        <f>SUM(J5:J23)</f>
        <v/>
      </c>
      <c r="K24" s="8">
        <f>SUM(K5:K23)</f>
        <v/>
      </c>
      <c r="L24" s="8">
        <f>SUM(L5:L23)</f>
        <v/>
      </c>
      <c r="M24" s="8">
        <f>SUM(M5:M23)</f>
        <v/>
      </c>
      <c r="N24" s="8">
        <f>SUM(N5:N23)</f>
        <v/>
      </c>
      <c r="O24" s="8">
        <f>SUM(O5:O23)</f>
        <v/>
      </c>
    </row>
    <row r="26">
      <c r="B26" s="7" t="inlineStr">
        <is>
          <t>Cumulative PV (S-curve)</t>
        </is>
      </c>
      <c r="C26" s="9">
        <f>C24</f>
        <v/>
      </c>
      <c r="D26" s="9">
        <f>C26+D24</f>
        <v/>
      </c>
      <c r="E26" s="9">
        <f>D26+E24</f>
        <v/>
      </c>
      <c r="F26" s="9">
        <f>E26+F24</f>
        <v/>
      </c>
      <c r="G26" s="9">
        <f>F26+G24</f>
        <v/>
      </c>
      <c r="H26" s="9">
        <f>G26+H24</f>
        <v/>
      </c>
      <c r="I26" s="9">
        <f>H26+I24</f>
        <v/>
      </c>
      <c r="J26" s="9">
        <f>I26+J24</f>
        <v/>
      </c>
      <c r="K26" s="9">
        <f>J26+K24</f>
        <v/>
      </c>
      <c r="L26" s="9">
        <f>K26+L24</f>
        <v/>
      </c>
      <c r="M26" s="9">
        <f>L26+M24</f>
        <v/>
      </c>
      <c r="N26" s="9">
        <f>M26+N24</f>
        <v/>
      </c>
    </row>
    <row r="28">
      <c r="B28" s="2" t="inlineStr">
        <is>
          <t>The final cumulative value must equal BAC exactly.</t>
        </is>
      </c>
      <c r="O28" s="12">
        <f>IF(ROUND(M26-Inputs!C24,2)=0,"OK","MISMATCH")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5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Earned Value by Work Package — end of Period 5 (Aug-2026)</t>
        </is>
      </c>
    </row>
    <row r="2">
      <c r="A2" s="2" t="inlineStr">
        <is>
          <t>EV = cumulative percent complete x budget.  PV and AC are cumulative to this period.</t>
        </is>
      </c>
    </row>
    <row r="4" ht="30" customHeight="1">
      <c r="A4" s="3" t="inlineStr">
        <is>
          <t>WBS ID</t>
        </is>
      </c>
      <c r="B4" s="3" t="inlineStr">
        <is>
          <t>Work Package</t>
        </is>
      </c>
      <c r="C4" s="3" t="inlineStr">
        <is>
          <t>Budget (Rs)</t>
        </is>
      </c>
      <c r="D4" s="3" t="inlineStr">
        <is>
          <t>% Complete</t>
        </is>
      </c>
      <c r="E4" s="3" t="inlineStr">
        <is>
          <t>EV (Rs)</t>
        </is>
      </c>
      <c r="F4" s="3" t="inlineStr">
        <is>
          <t>PV cum (Rs)</t>
        </is>
      </c>
      <c r="G4" s="3" t="inlineStr">
        <is>
          <t>AC cum (Rs)</t>
        </is>
      </c>
      <c r="H4" s="3" t="inlineStr">
        <is>
          <t>CV (Rs)</t>
        </is>
      </c>
      <c r="I4" s="3" t="inlineStr">
        <is>
          <t>SV (Rs)</t>
        </is>
      </c>
      <c r="J4" s="3" t="inlineStr">
        <is>
          <t>CPI</t>
        </is>
      </c>
      <c r="K4" s="3" t="inlineStr">
        <is>
          <t>SPI</t>
        </is>
      </c>
    </row>
    <row r="5">
      <c r="A5" s="4" t="inlineStr">
        <is>
          <t>1.1</t>
        </is>
      </c>
      <c r="B5" s="4" t="inlineStr">
        <is>
          <t>Site mobilisation and enabling works</t>
        </is>
      </c>
      <c r="C5" s="13">
        <f>Inputs!C5</f>
        <v/>
      </c>
      <c r="D5" s="14">
        <f>Inputs!N5</f>
        <v/>
      </c>
      <c r="E5" s="10">
        <f>C5*D5</f>
        <v/>
      </c>
      <c r="F5" s="10">
        <f>SUM(Baseline!C5:G5)</f>
        <v/>
      </c>
      <c r="G5" s="10">
        <f>SUM(Inputs!D5:H5)</f>
        <v/>
      </c>
      <c r="H5" s="10">
        <f>E5-G5</f>
        <v/>
      </c>
      <c r="I5" s="10">
        <f>E5-F5</f>
        <v/>
      </c>
      <c r="J5" s="15">
        <f>IF(G5=0,"",E5/G5)</f>
        <v/>
      </c>
      <c r="K5" s="15">
        <f>IF(F5=0,"",E5/F5)</f>
        <v/>
      </c>
    </row>
    <row r="6">
      <c r="A6" s="4" t="inlineStr">
        <is>
          <t>1.2</t>
        </is>
      </c>
      <c r="B6" s="4" t="inlineStr">
        <is>
          <t>Site office, stores and labour accommodation</t>
        </is>
      </c>
      <c r="C6" s="13">
        <f>Inputs!C6</f>
        <v/>
      </c>
      <c r="D6" s="14">
        <f>Inputs!N6</f>
        <v/>
      </c>
      <c r="E6" s="10">
        <f>C6*D6</f>
        <v/>
      </c>
      <c r="F6" s="10">
        <f>SUM(Baseline!C6:G6)</f>
        <v/>
      </c>
      <c r="G6" s="10">
        <f>SUM(Inputs!D6:H6)</f>
        <v/>
      </c>
      <c r="H6" s="10">
        <f>E6-G6</f>
        <v/>
      </c>
      <c r="I6" s="10">
        <f>E6-F6</f>
        <v/>
      </c>
      <c r="J6" s="15">
        <f>IF(G6=0,"",E6/G6)</f>
        <v/>
      </c>
      <c r="K6" s="15">
        <f>IF(F6=0,"",E6/F6)</f>
        <v/>
      </c>
    </row>
    <row r="7">
      <c r="A7" s="4" t="inlineStr">
        <is>
          <t>2.1</t>
        </is>
      </c>
      <c r="B7" s="4" t="inlineStr">
        <is>
          <t>Excavation and earthwork</t>
        </is>
      </c>
      <c r="C7" s="13">
        <f>Inputs!C7</f>
        <v/>
      </c>
      <c r="D7" s="14">
        <f>Inputs!N7</f>
        <v/>
      </c>
      <c r="E7" s="10">
        <f>C7*D7</f>
        <v/>
      </c>
      <c r="F7" s="10">
        <f>SUM(Baseline!C7:G7)</f>
        <v/>
      </c>
      <c r="G7" s="10">
        <f>SUM(Inputs!D7:H7)</f>
        <v/>
      </c>
      <c r="H7" s="10">
        <f>E7-G7</f>
        <v/>
      </c>
      <c r="I7" s="10">
        <f>E7-F7</f>
        <v/>
      </c>
      <c r="J7" s="15">
        <f>IF(G7=0,"",E7/G7)</f>
        <v/>
      </c>
      <c r="K7" s="15">
        <f>IF(F7=0,"",E7/F7)</f>
        <v/>
      </c>
    </row>
    <row r="8">
      <c r="A8" s="4" t="inlineStr">
        <is>
          <t>2.2</t>
        </is>
      </c>
      <c r="B8" s="4" t="inlineStr">
        <is>
          <t>PCC and footings</t>
        </is>
      </c>
      <c r="C8" s="13">
        <f>Inputs!C8</f>
        <v/>
      </c>
      <c r="D8" s="14">
        <f>Inputs!N8</f>
        <v/>
      </c>
      <c r="E8" s="10">
        <f>C8*D8</f>
        <v/>
      </c>
      <c r="F8" s="10">
        <f>SUM(Baseline!C8:G8)</f>
        <v/>
      </c>
      <c r="G8" s="10">
        <f>SUM(Inputs!D8:H8)</f>
        <v/>
      </c>
      <c r="H8" s="10">
        <f>E8-G8</f>
        <v/>
      </c>
      <c r="I8" s="10">
        <f>E8-F8</f>
        <v/>
      </c>
      <c r="J8" s="15">
        <f>IF(G8=0,"",E8/G8)</f>
        <v/>
      </c>
      <c r="K8" s="15">
        <f>IF(F8=0,"",E8/F8)</f>
        <v/>
      </c>
    </row>
    <row r="9">
      <c r="A9" s="4" t="inlineStr">
        <is>
          <t>2.3</t>
        </is>
      </c>
      <c r="B9" s="4" t="inlineStr">
        <is>
          <t>Foundation RCC up to plinth</t>
        </is>
      </c>
      <c r="C9" s="13">
        <f>Inputs!C9</f>
        <v/>
      </c>
      <c r="D9" s="14">
        <f>Inputs!N9</f>
        <v/>
      </c>
      <c r="E9" s="10">
        <f>C9*D9</f>
        <v/>
      </c>
      <c r="F9" s="10">
        <f>SUM(Baseline!C9:G9)</f>
        <v/>
      </c>
      <c r="G9" s="10">
        <f>SUM(Inputs!D9:H9)</f>
        <v/>
      </c>
      <c r="H9" s="10">
        <f>E9-G9</f>
        <v/>
      </c>
      <c r="I9" s="10">
        <f>E9-F9</f>
        <v/>
      </c>
      <c r="J9" s="15">
        <f>IF(G9=0,"",E9/G9)</f>
        <v/>
      </c>
      <c r="K9" s="15">
        <f>IF(F9=0,"",E9/F9)</f>
        <v/>
      </c>
    </row>
    <row r="10">
      <c r="A10" s="4" t="inlineStr">
        <is>
          <t>2.4</t>
        </is>
      </c>
      <c r="B10" s="4" t="inlineStr">
        <is>
          <t>Plinth beams and backfilling</t>
        </is>
      </c>
      <c r="C10" s="13">
        <f>Inputs!C10</f>
        <v/>
      </c>
      <c r="D10" s="14">
        <f>Inputs!N10</f>
        <v/>
      </c>
      <c r="E10" s="10">
        <f>C10*D10</f>
        <v/>
      </c>
      <c r="F10" s="10">
        <f>SUM(Baseline!C10:G10)</f>
        <v/>
      </c>
      <c r="G10" s="10">
        <f>SUM(Inputs!D10:H10)</f>
        <v/>
      </c>
      <c r="H10" s="10">
        <f>E10-G10</f>
        <v/>
      </c>
      <c r="I10" s="10">
        <f>E10-F10</f>
        <v/>
      </c>
      <c r="J10" s="15">
        <f>IF(G10=0,"",E10/G10)</f>
        <v/>
      </c>
      <c r="K10" s="15">
        <f>IF(F10=0,"",E10/F10)</f>
        <v/>
      </c>
    </row>
    <row r="11">
      <c r="A11" s="4" t="inlineStr">
        <is>
          <t>3.1</t>
        </is>
      </c>
      <c r="B11" s="4" t="inlineStr">
        <is>
          <t>RCC columns, ground to fourth floor</t>
        </is>
      </c>
      <c r="C11" s="13">
        <f>Inputs!C11</f>
        <v/>
      </c>
      <c r="D11" s="14">
        <f>Inputs!N11</f>
        <v/>
      </c>
      <c r="E11" s="10">
        <f>C11*D11</f>
        <v/>
      </c>
      <c r="F11" s="10">
        <f>SUM(Baseline!C11:G11)</f>
        <v/>
      </c>
      <c r="G11" s="10">
        <f>SUM(Inputs!D11:H11)</f>
        <v/>
      </c>
      <c r="H11" s="10">
        <f>E11-G11</f>
        <v/>
      </c>
      <c r="I11" s="10">
        <f>E11-F11</f>
        <v/>
      </c>
      <c r="J11" s="15">
        <f>IF(G11=0,"",E11/G11)</f>
        <v/>
      </c>
      <c r="K11" s="15">
        <f>IF(F11=0,"",E11/F11)</f>
        <v/>
      </c>
    </row>
    <row r="12">
      <c r="A12" s="4" t="inlineStr">
        <is>
          <t>3.2</t>
        </is>
      </c>
      <c r="B12" s="4" t="inlineStr">
        <is>
          <t>RCC beams and slabs, ground to fourth floor</t>
        </is>
      </c>
      <c r="C12" s="13">
        <f>Inputs!C12</f>
        <v/>
      </c>
      <c r="D12" s="14">
        <f>Inputs!N12</f>
        <v/>
      </c>
      <c r="E12" s="10">
        <f>C12*D12</f>
        <v/>
      </c>
      <c r="F12" s="10">
        <f>SUM(Baseline!C12:G12)</f>
        <v/>
      </c>
      <c r="G12" s="10">
        <f>SUM(Inputs!D12:H12)</f>
        <v/>
      </c>
      <c r="H12" s="10">
        <f>E12-G12</f>
        <v/>
      </c>
      <c r="I12" s="10">
        <f>E12-F12</f>
        <v/>
      </c>
      <c r="J12" s="15">
        <f>IF(G12=0,"",E12/G12)</f>
        <v/>
      </c>
      <c r="K12" s="15">
        <f>IF(F12=0,"",E12/F12)</f>
        <v/>
      </c>
    </row>
    <row r="13">
      <c r="A13" s="4" t="inlineStr">
        <is>
          <t>3.3</t>
        </is>
      </c>
      <c r="B13" s="4" t="inlineStr">
        <is>
          <t>Staircase and lift core RCC</t>
        </is>
      </c>
      <c r="C13" s="13">
        <f>Inputs!C13</f>
        <v/>
      </c>
      <c r="D13" s="14">
        <f>Inputs!N13</f>
        <v/>
      </c>
      <c r="E13" s="10">
        <f>C13*D13</f>
        <v/>
      </c>
      <c r="F13" s="10">
        <f>SUM(Baseline!C13:G13)</f>
        <v/>
      </c>
      <c r="G13" s="10">
        <f>SUM(Inputs!D13:H13)</f>
        <v/>
      </c>
      <c r="H13" s="10">
        <f>E13-G13</f>
        <v/>
      </c>
      <c r="I13" s="10">
        <f>E13-F13</f>
        <v/>
      </c>
      <c r="J13" s="15">
        <f>IF(G13=0,"",E13/G13)</f>
        <v/>
      </c>
      <c r="K13" s="15">
        <f>IF(F13=0,"",E13/F13)</f>
        <v/>
      </c>
    </row>
    <row r="14">
      <c r="A14" s="4" t="inlineStr">
        <is>
          <t>4.1</t>
        </is>
      </c>
      <c r="B14" s="4" t="inlineStr">
        <is>
          <t>Block masonry</t>
        </is>
      </c>
      <c r="C14" s="13">
        <f>Inputs!C14</f>
        <v/>
      </c>
      <c r="D14" s="14">
        <f>Inputs!N14</f>
        <v/>
      </c>
      <c r="E14" s="10">
        <f>C14*D14</f>
        <v/>
      </c>
      <c r="F14" s="10">
        <f>SUM(Baseline!C14:G14)</f>
        <v/>
      </c>
      <c r="G14" s="10">
        <f>SUM(Inputs!D14:H14)</f>
        <v/>
      </c>
      <c r="H14" s="10">
        <f>E14-G14</f>
        <v/>
      </c>
      <c r="I14" s="10">
        <f>E14-F14</f>
        <v/>
      </c>
      <c r="J14" s="15">
        <f>IF(G14=0,"",E14/G14)</f>
        <v/>
      </c>
      <c r="K14" s="15">
        <f>IF(F14=0,"",E14/F14)</f>
        <v/>
      </c>
    </row>
    <row r="15">
      <c r="A15" s="4" t="inlineStr">
        <is>
          <t>4.2</t>
        </is>
      </c>
      <c r="B15" s="4" t="inlineStr">
        <is>
          <t>Internal plaster</t>
        </is>
      </c>
      <c r="C15" s="13">
        <f>Inputs!C15</f>
        <v/>
      </c>
      <c r="D15" s="14">
        <f>Inputs!N15</f>
        <v/>
      </c>
      <c r="E15" s="10">
        <f>C15*D15</f>
        <v/>
      </c>
      <c r="F15" s="10">
        <f>SUM(Baseline!C15:G15)</f>
        <v/>
      </c>
      <c r="G15" s="10">
        <f>SUM(Inputs!D15:H15)</f>
        <v/>
      </c>
      <c r="H15" s="10">
        <f>E15-G15</f>
        <v/>
      </c>
      <c r="I15" s="10">
        <f>E15-F15</f>
        <v/>
      </c>
      <c r="J15" s="15">
        <f>IF(G15=0,"",E15/G15)</f>
        <v/>
      </c>
      <c r="K15" s="15">
        <f>IF(F15=0,"",E15/F15)</f>
        <v/>
      </c>
    </row>
    <row r="16">
      <c r="A16" s="4" t="inlineStr">
        <is>
          <t>4.3</t>
        </is>
      </c>
      <c r="B16" s="4" t="inlineStr">
        <is>
          <t>External plaster and texture finish</t>
        </is>
      </c>
      <c r="C16" s="13">
        <f>Inputs!C16</f>
        <v/>
      </c>
      <c r="D16" s="14">
        <f>Inputs!N16</f>
        <v/>
      </c>
      <c r="E16" s="10">
        <f>C16*D16</f>
        <v/>
      </c>
      <c r="F16" s="10">
        <f>SUM(Baseline!C16:G16)</f>
        <v/>
      </c>
      <c r="G16" s="10">
        <f>SUM(Inputs!D16:H16)</f>
        <v/>
      </c>
      <c r="H16" s="10">
        <f>E16-G16</f>
        <v/>
      </c>
      <c r="I16" s="10">
        <f>E16-F16</f>
        <v/>
      </c>
      <c r="J16" s="15">
        <f>IF(G16=0,"",E16/G16)</f>
        <v/>
      </c>
      <c r="K16" s="15">
        <f>IF(F16=0,"",E16/F16)</f>
        <v/>
      </c>
    </row>
    <row r="17">
      <c r="A17" s="4" t="inlineStr">
        <is>
          <t>4.4</t>
        </is>
      </c>
      <c r="B17" s="4" t="inlineStr">
        <is>
          <t>Flooring, vitrified tile and kota stone</t>
        </is>
      </c>
      <c r="C17" s="13">
        <f>Inputs!C17</f>
        <v/>
      </c>
      <c r="D17" s="14">
        <f>Inputs!N17</f>
        <v/>
      </c>
      <c r="E17" s="10">
        <f>C17*D17</f>
        <v/>
      </c>
      <c r="F17" s="10">
        <f>SUM(Baseline!C17:G17)</f>
        <v/>
      </c>
      <c r="G17" s="10">
        <f>SUM(Inputs!D17:H17)</f>
        <v/>
      </c>
      <c r="H17" s="10">
        <f>E17-G17</f>
        <v/>
      </c>
      <c r="I17" s="10">
        <f>E17-F17</f>
        <v/>
      </c>
      <c r="J17" s="15">
        <f>IF(G17=0,"",E17/G17)</f>
        <v/>
      </c>
      <c r="K17" s="15">
        <f>IF(F17=0,"",E17/F17)</f>
        <v/>
      </c>
    </row>
    <row r="18">
      <c r="A18" s="4" t="inlineStr">
        <is>
          <t>4.5</t>
        </is>
      </c>
      <c r="B18" s="4" t="inlineStr">
        <is>
          <t>Painting, internal and external</t>
        </is>
      </c>
      <c r="C18" s="13">
        <f>Inputs!C18</f>
        <v/>
      </c>
      <c r="D18" s="14">
        <f>Inputs!N18</f>
        <v/>
      </c>
      <c r="E18" s="10">
        <f>C18*D18</f>
        <v/>
      </c>
      <c r="F18" s="10">
        <f>SUM(Baseline!C18:G18)</f>
        <v/>
      </c>
      <c r="G18" s="10">
        <f>SUM(Inputs!D18:H18)</f>
        <v/>
      </c>
      <c r="H18" s="10">
        <f>E18-G18</f>
        <v/>
      </c>
      <c r="I18" s="10">
        <f>E18-F18</f>
        <v/>
      </c>
      <c r="J18" s="15">
        <f>IF(G18=0,"",E18/G18)</f>
        <v/>
      </c>
      <c r="K18" s="15">
        <f>IF(F18=0,"",E18/F18)</f>
        <v/>
      </c>
    </row>
    <row r="19">
      <c r="A19" s="4" t="inlineStr">
        <is>
          <t>5.1</t>
        </is>
      </c>
      <c r="B19" s="4" t="inlineStr">
        <is>
          <t>Internal electrification</t>
        </is>
      </c>
      <c r="C19" s="13">
        <f>Inputs!C19</f>
        <v/>
      </c>
      <c r="D19" s="14">
        <f>Inputs!N19</f>
        <v/>
      </c>
      <c r="E19" s="10">
        <f>C19*D19</f>
        <v/>
      </c>
      <c r="F19" s="10">
        <f>SUM(Baseline!C19:G19)</f>
        <v/>
      </c>
      <c r="G19" s="10">
        <f>SUM(Inputs!D19:H19)</f>
        <v/>
      </c>
      <c r="H19" s="10">
        <f>E19-G19</f>
        <v/>
      </c>
      <c r="I19" s="10">
        <f>E19-F19</f>
        <v/>
      </c>
      <c r="J19" s="15">
        <f>IF(G19=0,"",E19/G19)</f>
        <v/>
      </c>
      <c r="K19" s="15">
        <f>IF(F19=0,"",E19/F19)</f>
        <v/>
      </c>
    </row>
    <row r="20">
      <c r="A20" s="4" t="inlineStr">
        <is>
          <t>5.2</t>
        </is>
      </c>
      <c r="B20" s="4" t="inlineStr">
        <is>
          <t>Plumbing and sanitary installation</t>
        </is>
      </c>
      <c r="C20" s="13">
        <f>Inputs!C20</f>
        <v/>
      </c>
      <c r="D20" s="14">
        <f>Inputs!N20</f>
        <v/>
      </c>
      <c r="E20" s="10">
        <f>C20*D20</f>
        <v/>
      </c>
      <c r="F20" s="10">
        <f>SUM(Baseline!C20:G20)</f>
        <v/>
      </c>
      <c r="G20" s="10">
        <f>SUM(Inputs!D20:H20)</f>
        <v/>
      </c>
      <c r="H20" s="10">
        <f>E20-G20</f>
        <v/>
      </c>
      <c r="I20" s="10">
        <f>E20-F20</f>
        <v/>
      </c>
      <c r="J20" s="15">
        <f>IF(G20=0,"",E20/G20)</f>
        <v/>
      </c>
      <c r="K20" s="15">
        <f>IF(F20=0,"",E20/F20)</f>
        <v/>
      </c>
    </row>
    <row r="21">
      <c r="A21" s="4" t="inlineStr">
        <is>
          <t>5.3</t>
        </is>
      </c>
      <c r="B21" s="4" t="inlineStr">
        <is>
          <t>HVAC and fire fighting</t>
        </is>
      </c>
      <c r="C21" s="13">
        <f>Inputs!C21</f>
        <v/>
      </c>
      <c r="D21" s="14">
        <f>Inputs!N21</f>
        <v/>
      </c>
      <c r="E21" s="10">
        <f>C21*D21</f>
        <v/>
      </c>
      <c r="F21" s="10">
        <f>SUM(Baseline!C21:G21)</f>
        <v/>
      </c>
      <c r="G21" s="10">
        <f>SUM(Inputs!D21:H21)</f>
        <v/>
      </c>
      <c r="H21" s="10">
        <f>E21-G21</f>
        <v/>
      </c>
      <c r="I21" s="10">
        <f>E21-F21</f>
        <v/>
      </c>
      <c r="J21" s="15">
        <f>IF(G21=0,"",E21/G21)</f>
        <v/>
      </c>
      <c r="K21" s="15">
        <f>IF(F21=0,"",E21/F21)</f>
        <v/>
      </c>
    </row>
    <row r="22">
      <c r="A22" s="4" t="inlineStr">
        <is>
          <t>6.1</t>
        </is>
      </c>
      <c r="B22" s="4" t="inlineStr">
        <is>
          <t>External development and landscaping</t>
        </is>
      </c>
      <c r="C22" s="13">
        <f>Inputs!C22</f>
        <v/>
      </c>
      <c r="D22" s="14">
        <f>Inputs!N22</f>
        <v/>
      </c>
      <c r="E22" s="10">
        <f>C22*D22</f>
        <v/>
      </c>
      <c r="F22" s="10">
        <f>SUM(Baseline!C22:G22)</f>
        <v/>
      </c>
      <c r="G22" s="10">
        <f>SUM(Inputs!D22:H22)</f>
        <v/>
      </c>
      <c r="H22" s="10">
        <f>E22-G22</f>
        <v/>
      </c>
      <c r="I22" s="10">
        <f>E22-F22</f>
        <v/>
      </c>
      <c r="J22" s="15">
        <f>IF(G22=0,"",E22/G22)</f>
        <v/>
      </c>
      <c r="K22" s="15">
        <f>IF(F22=0,"",E22/F22)</f>
        <v/>
      </c>
    </row>
    <row r="23">
      <c r="A23" s="4" t="inlineStr">
        <is>
          <t>6.2</t>
        </is>
      </c>
      <c r="B23" s="4" t="inlineStr">
        <is>
          <t>Testing, commissioning and handover</t>
        </is>
      </c>
      <c r="C23" s="13">
        <f>Inputs!C23</f>
        <v/>
      </c>
      <c r="D23" s="14">
        <f>Inputs!N23</f>
        <v/>
      </c>
      <c r="E23" s="10">
        <f>C23*D23</f>
        <v/>
      </c>
      <c r="F23" s="10">
        <f>SUM(Baseline!C23:G23)</f>
        <v/>
      </c>
      <c r="G23" s="10">
        <f>SUM(Inputs!D23:H23)</f>
        <v/>
      </c>
      <c r="H23" s="10">
        <f>E23-G23</f>
        <v/>
      </c>
      <c r="I23" s="10">
        <f>E23-F23</f>
        <v/>
      </c>
      <c r="J23" s="15">
        <f>IF(G23=0,"",E23/G23)</f>
        <v/>
      </c>
      <c r="K23" s="15">
        <f>IF(F23=0,"",E23/F23)</f>
        <v/>
      </c>
    </row>
    <row r="24">
      <c r="B24" s="7" t="inlineStr">
        <is>
          <t>PROJECT TOTAL</t>
        </is>
      </c>
      <c r="C24" s="8">
        <f>SUM(C5:C23)</f>
        <v/>
      </c>
      <c r="D24" s="8">
        <f>SUM(D5:D23)</f>
        <v/>
      </c>
      <c r="E24" s="8">
        <f>SUM(E5:E23)</f>
        <v/>
      </c>
      <c r="F24" s="8">
        <f>SUM(F5:F23)</f>
        <v/>
      </c>
      <c r="G24" s="8">
        <f>SUM(G5:G23)</f>
        <v/>
      </c>
      <c r="H24" s="8">
        <f>SUM(H5:H23)</f>
        <v/>
      </c>
      <c r="I24" s="8">
        <f>SUM(I5:I23)</f>
        <v/>
      </c>
      <c r="J24" s="16">
        <f>E24/G24</f>
        <v/>
      </c>
      <c r="K24" s="16">
        <f>E24/F24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5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Earned Value by Work Package — end of Period 6 (Sep-2026)</t>
        </is>
      </c>
    </row>
    <row r="2">
      <c r="A2" s="2" t="inlineStr">
        <is>
          <t>EV = cumulative percent complete x budget.  PV and AC are cumulative to this period.</t>
        </is>
      </c>
    </row>
    <row r="4" ht="30" customHeight="1">
      <c r="A4" s="3" t="inlineStr">
        <is>
          <t>WBS ID</t>
        </is>
      </c>
      <c r="B4" s="3" t="inlineStr">
        <is>
          <t>Work Package</t>
        </is>
      </c>
      <c r="C4" s="3" t="inlineStr">
        <is>
          <t>Budget (Rs)</t>
        </is>
      </c>
      <c r="D4" s="3" t="inlineStr">
        <is>
          <t>% Complete</t>
        </is>
      </c>
      <c r="E4" s="3" t="inlineStr">
        <is>
          <t>EV (Rs)</t>
        </is>
      </c>
      <c r="F4" s="3" t="inlineStr">
        <is>
          <t>PV cum (Rs)</t>
        </is>
      </c>
      <c r="G4" s="3" t="inlineStr">
        <is>
          <t>AC cum (Rs)</t>
        </is>
      </c>
      <c r="H4" s="3" t="inlineStr">
        <is>
          <t>CV (Rs)</t>
        </is>
      </c>
      <c r="I4" s="3" t="inlineStr">
        <is>
          <t>SV (Rs)</t>
        </is>
      </c>
      <c r="J4" s="3" t="inlineStr">
        <is>
          <t>CPI</t>
        </is>
      </c>
      <c r="K4" s="3" t="inlineStr">
        <is>
          <t>SPI</t>
        </is>
      </c>
    </row>
    <row r="5">
      <c r="A5" s="4" t="inlineStr">
        <is>
          <t>1.1</t>
        </is>
      </c>
      <c r="B5" s="4" t="inlineStr">
        <is>
          <t>Site mobilisation and enabling works</t>
        </is>
      </c>
      <c r="C5" s="13">
        <f>Inputs!C5</f>
        <v/>
      </c>
      <c r="D5" s="14">
        <f>Inputs!O5</f>
        <v/>
      </c>
      <c r="E5" s="10">
        <f>C5*D5</f>
        <v/>
      </c>
      <c r="F5" s="10">
        <f>SUM(Baseline!C5:H5)</f>
        <v/>
      </c>
      <c r="G5" s="10">
        <f>SUM(Inputs!D5:I5)</f>
        <v/>
      </c>
      <c r="H5" s="10">
        <f>E5-G5</f>
        <v/>
      </c>
      <c r="I5" s="10">
        <f>E5-F5</f>
        <v/>
      </c>
      <c r="J5" s="15">
        <f>IF(G5=0,"",E5/G5)</f>
        <v/>
      </c>
      <c r="K5" s="15">
        <f>IF(F5=0,"",E5/F5)</f>
        <v/>
      </c>
    </row>
    <row r="6">
      <c r="A6" s="4" t="inlineStr">
        <is>
          <t>1.2</t>
        </is>
      </c>
      <c r="B6" s="4" t="inlineStr">
        <is>
          <t>Site office, stores and labour accommodation</t>
        </is>
      </c>
      <c r="C6" s="13">
        <f>Inputs!C6</f>
        <v/>
      </c>
      <c r="D6" s="14">
        <f>Inputs!O6</f>
        <v/>
      </c>
      <c r="E6" s="10">
        <f>C6*D6</f>
        <v/>
      </c>
      <c r="F6" s="10">
        <f>SUM(Baseline!C6:H6)</f>
        <v/>
      </c>
      <c r="G6" s="10">
        <f>SUM(Inputs!D6:I6)</f>
        <v/>
      </c>
      <c r="H6" s="10">
        <f>E6-G6</f>
        <v/>
      </c>
      <c r="I6" s="10">
        <f>E6-F6</f>
        <v/>
      </c>
      <c r="J6" s="15">
        <f>IF(G6=0,"",E6/G6)</f>
        <v/>
      </c>
      <c r="K6" s="15">
        <f>IF(F6=0,"",E6/F6)</f>
        <v/>
      </c>
    </row>
    <row r="7">
      <c r="A7" s="4" t="inlineStr">
        <is>
          <t>2.1</t>
        </is>
      </c>
      <c r="B7" s="4" t="inlineStr">
        <is>
          <t>Excavation and earthwork</t>
        </is>
      </c>
      <c r="C7" s="13">
        <f>Inputs!C7</f>
        <v/>
      </c>
      <c r="D7" s="14">
        <f>Inputs!O7</f>
        <v/>
      </c>
      <c r="E7" s="10">
        <f>C7*D7</f>
        <v/>
      </c>
      <c r="F7" s="10">
        <f>SUM(Baseline!C7:H7)</f>
        <v/>
      </c>
      <c r="G7" s="10">
        <f>SUM(Inputs!D7:I7)</f>
        <v/>
      </c>
      <c r="H7" s="10">
        <f>E7-G7</f>
        <v/>
      </c>
      <c r="I7" s="10">
        <f>E7-F7</f>
        <v/>
      </c>
      <c r="J7" s="15">
        <f>IF(G7=0,"",E7/G7)</f>
        <v/>
      </c>
      <c r="K7" s="15">
        <f>IF(F7=0,"",E7/F7)</f>
        <v/>
      </c>
    </row>
    <row r="8">
      <c r="A8" s="4" t="inlineStr">
        <is>
          <t>2.2</t>
        </is>
      </c>
      <c r="B8" s="4" t="inlineStr">
        <is>
          <t>PCC and footings</t>
        </is>
      </c>
      <c r="C8" s="13">
        <f>Inputs!C8</f>
        <v/>
      </c>
      <c r="D8" s="14">
        <f>Inputs!O8</f>
        <v/>
      </c>
      <c r="E8" s="10">
        <f>C8*D8</f>
        <v/>
      </c>
      <c r="F8" s="10">
        <f>SUM(Baseline!C8:H8)</f>
        <v/>
      </c>
      <c r="G8" s="10">
        <f>SUM(Inputs!D8:I8)</f>
        <v/>
      </c>
      <c r="H8" s="10">
        <f>E8-G8</f>
        <v/>
      </c>
      <c r="I8" s="10">
        <f>E8-F8</f>
        <v/>
      </c>
      <c r="J8" s="15">
        <f>IF(G8=0,"",E8/G8)</f>
        <v/>
      </c>
      <c r="K8" s="15">
        <f>IF(F8=0,"",E8/F8)</f>
        <v/>
      </c>
    </row>
    <row r="9">
      <c r="A9" s="4" t="inlineStr">
        <is>
          <t>2.3</t>
        </is>
      </c>
      <c r="B9" s="4" t="inlineStr">
        <is>
          <t>Foundation RCC up to plinth</t>
        </is>
      </c>
      <c r="C9" s="13">
        <f>Inputs!C9</f>
        <v/>
      </c>
      <c r="D9" s="14">
        <f>Inputs!O9</f>
        <v/>
      </c>
      <c r="E9" s="10">
        <f>C9*D9</f>
        <v/>
      </c>
      <c r="F9" s="10">
        <f>SUM(Baseline!C9:H9)</f>
        <v/>
      </c>
      <c r="G9" s="10">
        <f>SUM(Inputs!D9:I9)</f>
        <v/>
      </c>
      <c r="H9" s="10">
        <f>E9-G9</f>
        <v/>
      </c>
      <c r="I9" s="10">
        <f>E9-F9</f>
        <v/>
      </c>
      <c r="J9" s="15">
        <f>IF(G9=0,"",E9/G9)</f>
        <v/>
      </c>
      <c r="K9" s="15">
        <f>IF(F9=0,"",E9/F9)</f>
        <v/>
      </c>
    </row>
    <row r="10">
      <c r="A10" s="4" t="inlineStr">
        <is>
          <t>2.4</t>
        </is>
      </c>
      <c r="B10" s="4" t="inlineStr">
        <is>
          <t>Plinth beams and backfilling</t>
        </is>
      </c>
      <c r="C10" s="13">
        <f>Inputs!C10</f>
        <v/>
      </c>
      <c r="D10" s="14">
        <f>Inputs!O10</f>
        <v/>
      </c>
      <c r="E10" s="10">
        <f>C10*D10</f>
        <v/>
      </c>
      <c r="F10" s="10">
        <f>SUM(Baseline!C10:H10)</f>
        <v/>
      </c>
      <c r="G10" s="10">
        <f>SUM(Inputs!D10:I10)</f>
        <v/>
      </c>
      <c r="H10" s="10">
        <f>E10-G10</f>
        <v/>
      </c>
      <c r="I10" s="10">
        <f>E10-F10</f>
        <v/>
      </c>
      <c r="J10" s="15">
        <f>IF(G10=0,"",E10/G10)</f>
        <v/>
      </c>
      <c r="K10" s="15">
        <f>IF(F10=0,"",E10/F10)</f>
        <v/>
      </c>
    </row>
    <row r="11">
      <c r="A11" s="4" t="inlineStr">
        <is>
          <t>3.1</t>
        </is>
      </c>
      <c r="B11" s="4" t="inlineStr">
        <is>
          <t>RCC columns, ground to fourth floor</t>
        </is>
      </c>
      <c r="C11" s="13">
        <f>Inputs!C11</f>
        <v/>
      </c>
      <c r="D11" s="14">
        <f>Inputs!O11</f>
        <v/>
      </c>
      <c r="E11" s="10">
        <f>C11*D11</f>
        <v/>
      </c>
      <c r="F11" s="10">
        <f>SUM(Baseline!C11:H11)</f>
        <v/>
      </c>
      <c r="G11" s="10">
        <f>SUM(Inputs!D11:I11)</f>
        <v/>
      </c>
      <c r="H11" s="10">
        <f>E11-G11</f>
        <v/>
      </c>
      <c r="I11" s="10">
        <f>E11-F11</f>
        <v/>
      </c>
      <c r="J11" s="15">
        <f>IF(G11=0,"",E11/G11)</f>
        <v/>
      </c>
      <c r="K11" s="15">
        <f>IF(F11=0,"",E11/F11)</f>
        <v/>
      </c>
    </row>
    <row r="12">
      <c r="A12" s="4" t="inlineStr">
        <is>
          <t>3.2</t>
        </is>
      </c>
      <c r="B12" s="4" t="inlineStr">
        <is>
          <t>RCC beams and slabs, ground to fourth floor</t>
        </is>
      </c>
      <c r="C12" s="13">
        <f>Inputs!C12</f>
        <v/>
      </c>
      <c r="D12" s="14">
        <f>Inputs!O12</f>
        <v/>
      </c>
      <c r="E12" s="10">
        <f>C12*D12</f>
        <v/>
      </c>
      <c r="F12" s="10">
        <f>SUM(Baseline!C12:H12)</f>
        <v/>
      </c>
      <c r="G12" s="10">
        <f>SUM(Inputs!D12:I12)</f>
        <v/>
      </c>
      <c r="H12" s="10">
        <f>E12-G12</f>
        <v/>
      </c>
      <c r="I12" s="10">
        <f>E12-F12</f>
        <v/>
      </c>
      <c r="J12" s="15">
        <f>IF(G12=0,"",E12/G12)</f>
        <v/>
      </c>
      <c r="K12" s="15">
        <f>IF(F12=0,"",E12/F12)</f>
        <v/>
      </c>
    </row>
    <row r="13">
      <c r="A13" s="4" t="inlineStr">
        <is>
          <t>3.3</t>
        </is>
      </c>
      <c r="B13" s="4" t="inlineStr">
        <is>
          <t>Staircase and lift core RCC</t>
        </is>
      </c>
      <c r="C13" s="13">
        <f>Inputs!C13</f>
        <v/>
      </c>
      <c r="D13" s="14">
        <f>Inputs!O13</f>
        <v/>
      </c>
      <c r="E13" s="10">
        <f>C13*D13</f>
        <v/>
      </c>
      <c r="F13" s="10">
        <f>SUM(Baseline!C13:H13)</f>
        <v/>
      </c>
      <c r="G13" s="10">
        <f>SUM(Inputs!D13:I13)</f>
        <v/>
      </c>
      <c r="H13" s="10">
        <f>E13-G13</f>
        <v/>
      </c>
      <c r="I13" s="10">
        <f>E13-F13</f>
        <v/>
      </c>
      <c r="J13" s="15">
        <f>IF(G13=0,"",E13/G13)</f>
        <v/>
      </c>
      <c r="K13" s="15">
        <f>IF(F13=0,"",E13/F13)</f>
        <v/>
      </c>
    </row>
    <row r="14">
      <c r="A14" s="4" t="inlineStr">
        <is>
          <t>4.1</t>
        </is>
      </c>
      <c r="B14" s="4" t="inlineStr">
        <is>
          <t>Block masonry</t>
        </is>
      </c>
      <c r="C14" s="13">
        <f>Inputs!C14</f>
        <v/>
      </c>
      <c r="D14" s="14">
        <f>Inputs!O14</f>
        <v/>
      </c>
      <c r="E14" s="10">
        <f>C14*D14</f>
        <v/>
      </c>
      <c r="F14" s="10">
        <f>SUM(Baseline!C14:H14)</f>
        <v/>
      </c>
      <c r="G14" s="10">
        <f>SUM(Inputs!D14:I14)</f>
        <v/>
      </c>
      <c r="H14" s="10">
        <f>E14-G14</f>
        <v/>
      </c>
      <c r="I14" s="10">
        <f>E14-F14</f>
        <v/>
      </c>
      <c r="J14" s="15">
        <f>IF(G14=0,"",E14/G14)</f>
        <v/>
      </c>
      <c r="K14" s="15">
        <f>IF(F14=0,"",E14/F14)</f>
        <v/>
      </c>
    </row>
    <row r="15">
      <c r="A15" s="4" t="inlineStr">
        <is>
          <t>4.2</t>
        </is>
      </c>
      <c r="B15" s="4" t="inlineStr">
        <is>
          <t>Internal plaster</t>
        </is>
      </c>
      <c r="C15" s="13">
        <f>Inputs!C15</f>
        <v/>
      </c>
      <c r="D15" s="14">
        <f>Inputs!O15</f>
        <v/>
      </c>
      <c r="E15" s="10">
        <f>C15*D15</f>
        <v/>
      </c>
      <c r="F15" s="10">
        <f>SUM(Baseline!C15:H15)</f>
        <v/>
      </c>
      <c r="G15" s="10">
        <f>SUM(Inputs!D15:I15)</f>
        <v/>
      </c>
      <c r="H15" s="10">
        <f>E15-G15</f>
        <v/>
      </c>
      <c r="I15" s="10">
        <f>E15-F15</f>
        <v/>
      </c>
      <c r="J15" s="15">
        <f>IF(G15=0,"",E15/G15)</f>
        <v/>
      </c>
      <c r="K15" s="15">
        <f>IF(F15=0,"",E15/F15)</f>
        <v/>
      </c>
    </row>
    <row r="16">
      <c r="A16" s="4" t="inlineStr">
        <is>
          <t>4.3</t>
        </is>
      </c>
      <c r="B16" s="4" t="inlineStr">
        <is>
          <t>External plaster and texture finish</t>
        </is>
      </c>
      <c r="C16" s="13">
        <f>Inputs!C16</f>
        <v/>
      </c>
      <c r="D16" s="14">
        <f>Inputs!O16</f>
        <v/>
      </c>
      <c r="E16" s="10">
        <f>C16*D16</f>
        <v/>
      </c>
      <c r="F16" s="10">
        <f>SUM(Baseline!C16:H16)</f>
        <v/>
      </c>
      <c r="G16" s="10">
        <f>SUM(Inputs!D16:I16)</f>
        <v/>
      </c>
      <c r="H16" s="10">
        <f>E16-G16</f>
        <v/>
      </c>
      <c r="I16" s="10">
        <f>E16-F16</f>
        <v/>
      </c>
      <c r="J16" s="15">
        <f>IF(G16=0,"",E16/G16)</f>
        <v/>
      </c>
      <c r="K16" s="15">
        <f>IF(F16=0,"",E16/F16)</f>
        <v/>
      </c>
    </row>
    <row r="17">
      <c r="A17" s="4" t="inlineStr">
        <is>
          <t>4.4</t>
        </is>
      </c>
      <c r="B17" s="4" t="inlineStr">
        <is>
          <t>Flooring, vitrified tile and kota stone</t>
        </is>
      </c>
      <c r="C17" s="13">
        <f>Inputs!C17</f>
        <v/>
      </c>
      <c r="D17" s="14">
        <f>Inputs!O17</f>
        <v/>
      </c>
      <c r="E17" s="10">
        <f>C17*D17</f>
        <v/>
      </c>
      <c r="F17" s="10">
        <f>SUM(Baseline!C17:H17)</f>
        <v/>
      </c>
      <c r="G17" s="10">
        <f>SUM(Inputs!D17:I17)</f>
        <v/>
      </c>
      <c r="H17" s="10">
        <f>E17-G17</f>
        <v/>
      </c>
      <c r="I17" s="10">
        <f>E17-F17</f>
        <v/>
      </c>
      <c r="J17" s="15">
        <f>IF(G17=0,"",E17/G17)</f>
        <v/>
      </c>
      <c r="K17" s="15">
        <f>IF(F17=0,"",E17/F17)</f>
        <v/>
      </c>
    </row>
    <row r="18">
      <c r="A18" s="4" t="inlineStr">
        <is>
          <t>4.5</t>
        </is>
      </c>
      <c r="B18" s="4" t="inlineStr">
        <is>
          <t>Painting, internal and external</t>
        </is>
      </c>
      <c r="C18" s="13">
        <f>Inputs!C18</f>
        <v/>
      </c>
      <c r="D18" s="14">
        <f>Inputs!O18</f>
        <v/>
      </c>
      <c r="E18" s="10">
        <f>C18*D18</f>
        <v/>
      </c>
      <c r="F18" s="10">
        <f>SUM(Baseline!C18:H18)</f>
        <v/>
      </c>
      <c r="G18" s="10">
        <f>SUM(Inputs!D18:I18)</f>
        <v/>
      </c>
      <c r="H18" s="10">
        <f>E18-G18</f>
        <v/>
      </c>
      <c r="I18" s="10">
        <f>E18-F18</f>
        <v/>
      </c>
      <c r="J18" s="15">
        <f>IF(G18=0,"",E18/G18)</f>
        <v/>
      </c>
      <c r="K18" s="15">
        <f>IF(F18=0,"",E18/F18)</f>
        <v/>
      </c>
    </row>
    <row r="19">
      <c r="A19" s="4" t="inlineStr">
        <is>
          <t>5.1</t>
        </is>
      </c>
      <c r="B19" s="4" t="inlineStr">
        <is>
          <t>Internal electrification</t>
        </is>
      </c>
      <c r="C19" s="13">
        <f>Inputs!C19</f>
        <v/>
      </c>
      <c r="D19" s="14">
        <f>Inputs!O19</f>
        <v/>
      </c>
      <c r="E19" s="10">
        <f>C19*D19</f>
        <v/>
      </c>
      <c r="F19" s="10">
        <f>SUM(Baseline!C19:H19)</f>
        <v/>
      </c>
      <c r="G19" s="10">
        <f>SUM(Inputs!D19:I19)</f>
        <v/>
      </c>
      <c r="H19" s="10">
        <f>E19-G19</f>
        <v/>
      </c>
      <c r="I19" s="10">
        <f>E19-F19</f>
        <v/>
      </c>
      <c r="J19" s="15">
        <f>IF(G19=0,"",E19/G19)</f>
        <v/>
      </c>
      <c r="K19" s="15">
        <f>IF(F19=0,"",E19/F19)</f>
        <v/>
      </c>
    </row>
    <row r="20">
      <c r="A20" s="4" t="inlineStr">
        <is>
          <t>5.2</t>
        </is>
      </c>
      <c r="B20" s="4" t="inlineStr">
        <is>
          <t>Plumbing and sanitary installation</t>
        </is>
      </c>
      <c r="C20" s="13">
        <f>Inputs!C20</f>
        <v/>
      </c>
      <c r="D20" s="14">
        <f>Inputs!O20</f>
        <v/>
      </c>
      <c r="E20" s="10">
        <f>C20*D20</f>
        <v/>
      </c>
      <c r="F20" s="10">
        <f>SUM(Baseline!C20:H20)</f>
        <v/>
      </c>
      <c r="G20" s="10">
        <f>SUM(Inputs!D20:I20)</f>
        <v/>
      </c>
      <c r="H20" s="10">
        <f>E20-G20</f>
        <v/>
      </c>
      <c r="I20" s="10">
        <f>E20-F20</f>
        <v/>
      </c>
      <c r="J20" s="15">
        <f>IF(G20=0,"",E20/G20)</f>
        <v/>
      </c>
      <c r="K20" s="15">
        <f>IF(F20=0,"",E20/F20)</f>
        <v/>
      </c>
    </row>
    <row r="21">
      <c r="A21" s="4" t="inlineStr">
        <is>
          <t>5.3</t>
        </is>
      </c>
      <c r="B21" s="4" t="inlineStr">
        <is>
          <t>HVAC and fire fighting</t>
        </is>
      </c>
      <c r="C21" s="13">
        <f>Inputs!C21</f>
        <v/>
      </c>
      <c r="D21" s="14">
        <f>Inputs!O21</f>
        <v/>
      </c>
      <c r="E21" s="10">
        <f>C21*D21</f>
        <v/>
      </c>
      <c r="F21" s="10">
        <f>SUM(Baseline!C21:H21)</f>
        <v/>
      </c>
      <c r="G21" s="10">
        <f>SUM(Inputs!D21:I21)</f>
        <v/>
      </c>
      <c r="H21" s="10">
        <f>E21-G21</f>
        <v/>
      </c>
      <c r="I21" s="10">
        <f>E21-F21</f>
        <v/>
      </c>
      <c r="J21" s="15">
        <f>IF(G21=0,"",E21/G21)</f>
        <v/>
      </c>
      <c r="K21" s="15">
        <f>IF(F21=0,"",E21/F21)</f>
        <v/>
      </c>
    </row>
    <row r="22">
      <c r="A22" s="4" t="inlineStr">
        <is>
          <t>6.1</t>
        </is>
      </c>
      <c r="B22" s="4" t="inlineStr">
        <is>
          <t>External development and landscaping</t>
        </is>
      </c>
      <c r="C22" s="13">
        <f>Inputs!C22</f>
        <v/>
      </c>
      <c r="D22" s="14">
        <f>Inputs!O22</f>
        <v/>
      </c>
      <c r="E22" s="10">
        <f>C22*D22</f>
        <v/>
      </c>
      <c r="F22" s="10">
        <f>SUM(Baseline!C22:H22)</f>
        <v/>
      </c>
      <c r="G22" s="10">
        <f>SUM(Inputs!D22:I22)</f>
        <v/>
      </c>
      <c r="H22" s="10">
        <f>E22-G22</f>
        <v/>
      </c>
      <c r="I22" s="10">
        <f>E22-F22</f>
        <v/>
      </c>
      <c r="J22" s="15">
        <f>IF(G22=0,"",E22/G22)</f>
        <v/>
      </c>
      <c r="K22" s="15">
        <f>IF(F22=0,"",E22/F22)</f>
        <v/>
      </c>
    </row>
    <row r="23">
      <c r="A23" s="4" t="inlineStr">
        <is>
          <t>6.2</t>
        </is>
      </c>
      <c r="B23" s="4" t="inlineStr">
        <is>
          <t>Testing, commissioning and handover</t>
        </is>
      </c>
      <c r="C23" s="13">
        <f>Inputs!C23</f>
        <v/>
      </c>
      <c r="D23" s="14">
        <f>Inputs!O23</f>
        <v/>
      </c>
      <c r="E23" s="10">
        <f>C23*D23</f>
        <v/>
      </c>
      <c r="F23" s="10">
        <f>SUM(Baseline!C23:H23)</f>
        <v/>
      </c>
      <c r="G23" s="10">
        <f>SUM(Inputs!D23:I23)</f>
        <v/>
      </c>
      <c r="H23" s="10">
        <f>E23-G23</f>
        <v/>
      </c>
      <c r="I23" s="10">
        <f>E23-F23</f>
        <v/>
      </c>
      <c r="J23" s="15">
        <f>IF(G23=0,"",E23/G23)</f>
        <v/>
      </c>
      <c r="K23" s="15">
        <f>IF(F23=0,"",E23/F23)</f>
        <v/>
      </c>
    </row>
    <row r="24">
      <c r="B24" s="7" t="inlineStr">
        <is>
          <t>PROJECT TOTAL</t>
        </is>
      </c>
      <c r="C24" s="8">
        <f>SUM(C5:C23)</f>
        <v/>
      </c>
      <c r="D24" s="8">
        <f>SUM(D5:D23)</f>
        <v/>
      </c>
      <c r="E24" s="8">
        <f>SUM(E5:E23)</f>
        <v/>
      </c>
      <c r="F24" s="8">
        <f>SUM(F5:F23)</f>
        <v/>
      </c>
      <c r="G24" s="8">
        <f>SUM(G5:G23)</f>
        <v/>
      </c>
      <c r="H24" s="8">
        <f>SUM(H5:H23)</f>
        <v/>
      </c>
      <c r="I24" s="8">
        <f>SUM(I5:I23)</f>
        <v/>
      </c>
      <c r="J24" s="16">
        <f>E24/G24</f>
        <v/>
      </c>
      <c r="K24" s="16">
        <f>E24/F24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44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EVM Indices and Forecasts</t>
        </is>
      </c>
    </row>
    <row r="2">
      <c r="A2" s="2" t="inlineStr">
        <is>
          <t>Every cell is a formula. Compare against the tool output in docs/04-validation-report.md.</t>
        </is>
      </c>
    </row>
    <row r="4" ht="30" customHeight="1">
      <c r="A4" s="3" t="inlineStr">
        <is>
          <t>#</t>
        </is>
      </c>
      <c r="B4" s="3" t="inlineStr">
        <is>
          <t>Measure</t>
        </is>
      </c>
      <c r="C4" s="3" t="inlineStr">
        <is>
          <t>Formula as applied</t>
        </is>
      </c>
      <c r="D4" s="3" t="inlineStr">
        <is>
          <t>Period 5</t>
        </is>
      </c>
      <c r="E4" s="3" t="inlineStr">
        <is>
          <t>Period 6</t>
        </is>
      </c>
      <c r="F4" s="3" t="inlineStr">
        <is>
          <t>Unit</t>
        </is>
      </c>
    </row>
    <row r="5">
      <c r="A5" s="4" t="n">
        <v>1</v>
      </c>
      <c r="B5" s="4" t="inlineStr">
        <is>
          <t>Budget at completion (BAC)</t>
        </is>
      </c>
      <c r="C5" s="17" t="inlineStr">
        <is>
          <t>Sum of all work package budgets</t>
        </is>
      </c>
      <c r="D5" s="18">
        <f>Inputs!C24</f>
        <v/>
      </c>
      <c r="E5" s="18">
        <f>Inputs!C24</f>
        <v/>
      </c>
      <c r="F5" s="19" t="inlineStr">
        <is>
          <t>Rs</t>
        </is>
      </c>
    </row>
    <row r="6">
      <c r="A6" s="4" t="n">
        <v>2</v>
      </c>
      <c r="B6" s="4" t="inlineStr">
        <is>
          <t>Planned value (PV)</t>
        </is>
      </c>
      <c r="C6" s="17" t="inlineStr">
        <is>
          <t>Cumulative time-phased budget to date</t>
        </is>
      </c>
      <c r="D6" s="18">
        <f>'Calc P5'!F24</f>
        <v/>
      </c>
      <c r="E6" s="18">
        <f>'Calc P6'!F24</f>
        <v/>
      </c>
      <c r="F6" s="19" t="inlineStr">
        <is>
          <t>Rs</t>
        </is>
      </c>
    </row>
    <row r="7">
      <c r="A7" s="4" t="n">
        <v>3</v>
      </c>
      <c r="B7" s="4" t="inlineStr">
        <is>
          <t>Earned value (EV)</t>
        </is>
      </c>
      <c r="C7" s="17" t="inlineStr">
        <is>
          <t>Sum of (% complete x budget)</t>
        </is>
      </c>
      <c r="D7" s="18">
        <f>'Calc P5'!E24</f>
        <v/>
      </c>
      <c r="E7" s="18">
        <f>'Calc P6'!E24</f>
        <v/>
      </c>
      <c r="F7" s="19" t="inlineStr">
        <is>
          <t>Rs</t>
        </is>
      </c>
    </row>
    <row r="8">
      <c r="A8" s="4" t="n">
        <v>4</v>
      </c>
      <c r="B8" s="4" t="inlineStr">
        <is>
          <t>Actual cost (AC)</t>
        </is>
      </c>
      <c r="C8" s="17" t="inlineStr">
        <is>
          <t>Cumulative cost booked to date</t>
        </is>
      </c>
      <c r="D8" s="18">
        <f>'Calc P5'!G24</f>
        <v/>
      </c>
      <c r="E8" s="18">
        <f>'Calc P6'!G24</f>
        <v/>
      </c>
      <c r="F8" s="19" t="inlineStr">
        <is>
          <t>Rs</t>
        </is>
      </c>
    </row>
    <row r="9">
      <c r="A9" s="4" t="n">
        <v>5</v>
      </c>
      <c r="B9" s="4" t="inlineStr">
        <is>
          <t>Cost variance (CV)</t>
        </is>
      </c>
      <c r="C9" s="17" t="inlineStr">
        <is>
          <t>EV - AC</t>
        </is>
      </c>
      <c r="D9" s="18">
        <f>'Calc P5'!E24-'Calc P5'!G24</f>
        <v/>
      </c>
      <c r="E9" s="18">
        <f>'Calc P6'!E24-'Calc P6'!G24</f>
        <v/>
      </c>
      <c r="F9" s="19" t="inlineStr">
        <is>
          <t>Rs</t>
        </is>
      </c>
    </row>
    <row r="10">
      <c r="A10" s="4" t="n">
        <v>6</v>
      </c>
      <c r="B10" s="4" t="inlineStr">
        <is>
          <t>Schedule variance (SV)</t>
        </is>
      </c>
      <c r="C10" s="17" t="inlineStr">
        <is>
          <t>EV - PV</t>
        </is>
      </c>
      <c r="D10" s="18">
        <f>'Calc P5'!E24-'Calc P5'!F24</f>
        <v/>
      </c>
      <c r="E10" s="18">
        <f>'Calc P6'!E24-'Calc P6'!F24</f>
        <v/>
      </c>
      <c r="F10" s="19" t="inlineStr">
        <is>
          <t>Rs</t>
        </is>
      </c>
    </row>
    <row r="11">
      <c r="A11" s="4" t="n">
        <v>7</v>
      </c>
      <c r="B11" s="4" t="inlineStr">
        <is>
          <t>Cost variance %</t>
        </is>
      </c>
      <c r="C11" s="17" t="inlineStr">
        <is>
          <t>CV / EV</t>
        </is>
      </c>
      <c r="D11" s="20">
        <f>('Calc P5'!E24-'Calc P5'!G24)/'Calc P5'!E24</f>
        <v/>
      </c>
      <c r="E11" s="20">
        <f>('Calc P6'!E24-'Calc P6'!G24)/'Calc P6'!E24</f>
        <v/>
      </c>
      <c r="F11" s="19" t="inlineStr">
        <is>
          <t>%</t>
        </is>
      </c>
    </row>
    <row r="12">
      <c r="A12" s="4" t="n">
        <v>8</v>
      </c>
      <c r="B12" s="4" t="inlineStr">
        <is>
          <t>Schedule variance %</t>
        </is>
      </c>
      <c r="C12" s="17" t="inlineStr">
        <is>
          <t>SV / PV</t>
        </is>
      </c>
      <c r="D12" s="20">
        <f>('Calc P5'!E24-'Calc P5'!F24)/'Calc P5'!F24</f>
        <v/>
      </c>
      <c r="E12" s="20">
        <f>('Calc P6'!E24-'Calc P6'!F24)/'Calc P6'!F24</f>
        <v/>
      </c>
      <c r="F12" s="19" t="inlineStr">
        <is>
          <t>%</t>
        </is>
      </c>
    </row>
    <row r="13">
      <c r="A13" s="4" t="n">
        <v>9</v>
      </c>
      <c r="B13" s="4" t="inlineStr">
        <is>
          <t>Cost performance index (CPI)</t>
        </is>
      </c>
      <c r="C13" s="17" t="inlineStr">
        <is>
          <t>EV / AC</t>
        </is>
      </c>
      <c r="D13" s="21">
        <f>'Calc P5'!E24/'Calc P5'!G24</f>
        <v/>
      </c>
      <c r="E13" s="21">
        <f>'Calc P6'!E24/'Calc P6'!G24</f>
        <v/>
      </c>
      <c r="F13" s="19" t="inlineStr">
        <is>
          <t>ratio</t>
        </is>
      </c>
    </row>
    <row r="14">
      <c r="A14" s="4" t="n">
        <v>10</v>
      </c>
      <c r="B14" s="4" t="inlineStr">
        <is>
          <t>Schedule performance index (SPI)</t>
        </is>
      </c>
      <c r="C14" s="17" t="inlineStr">
        <is>
          <t>EV / PV</t>
        </is>
      </c>
      <c r="D14" s="21">
        <f>'Calc P5'!E24/'Calc P5'!F24</f>
        <v/>
      </c>
      <c r="E14" s="21">
        <f>'Calc P6'!E24/'Calc P6'!F24</f>
        <v/>
      </c>
      <c r="F14" s="19" t="inlineStr">
        <is>
          <t>ratio</t>
        </is>
      </c>
    </row>
    <row r="15">
      <c r="A15" s="4" t="n">
        <v>11</v>
      </c>
      <c r="B15" s="4" t="inlineStr">
        <is>
          <t>Percent complete</t>
        </is>
      </c>
      <c r="C15" s="17" t="inlineStr">
        <is>
          <t>EV / BAC</t>
        </is>
      </c>
      <c r="D15" s="20">
        <f>'Calc P5'!E24/Inputs!C24</f>
        <v/>
      </c>
      <c r="E15" s="20">
        <f>'Calc P6'!E24/Inputs!C24</f>
        <v/>
      </c>
      <c r="F15" s="19" t="inlineStr">
        <is>
          <t>%</t>
        </is>
      </c>
    </row>
    <row r="16">
      <c r="A16" s="4" t="n">
        <v>12</v>
      </c>
      <c r="B16" s="4" t="inlineStr">
        <is>
          <t>Percent spent</t>
        </is>
      </c>
      <c r="C16" s="17" t="inlineStr">
        <is>
          <t>AC / BAC</t>
        </is>
      </c>
      <c r="D16" s="20">
        <f>'Calc P5'!G24/Inputs!C24</f>
        <v/>
      </c>
      <c r="E16" s="20">
        <f>'Calc P6'!G24/Inputs!C24</f>
        <v/>
      </c>
      <c r="F16" s="19" t="inlineStr">
        <is>
          <t>%</t>
        </is>
      </c>
    </row>
    <row r="17">
      <c r="A17" s="4" t="n">
        <v>13</v>
      </c>
      <c r="B17" s="4" t="inlineStr">
        <is>
          <t>Percent scheduled</t>
        </is>
      </c>
      <c r="C17" s="17" t="inlineStr">
        <is>
          <t>PV / BAC</t>
        </is>
      </c>
      <c r="D17" s="20">
        <f>'Calc P5'!F24/Inputs!C24</f>
        <v/>
      </c>
      <c r="E17" s="20">
        <f>'Calc P6'!F24/Inputs!C24</f>
        <v/>
      </c>
      <c r="F17" s="19" t="inlineStr">
        <is>
          <t>%</t>
        </is>
      </c>
    </row>
    <row r="18">
      <c r="A18" s="4" t="n">
        <v>14</v>
      </c>
      <c r="B18" s="4" t="inlineStr">
        <is>
          <t>Earned schedule (ES)</t>
        </is>
      </c>
      <c r="C18" s="17" t="inlineStr">
        <is>
          <t>Baseline time at which PV equals current EV</t>
        </is>
      </c>
      <c r="D18" s="21">
        <f>IFERROR(MATCH('Calc P5'!E24,Baseline!$C$26:$N$26,1)+('Calc P5'!E24-INDEX(Baseline!$C$26:$N$26,MATCH('Calc P5'!E24,Baseline!$C$26:$N$26,1)))/(INDEX(Baseline!$C$26:$N$26,MATCH('Calc P5'!E24,Baseline!$C$26:$N$26,1)+1)-INDEX(Baseline!$C$26:$N$26,MATCH('Calc P5'!E24,Baseline!$C$26:$N$26,1))),'Calc P5'!E24/INDEX(Baseline!$C$26:$N$26,1))</f>
        <v/>
      </c>
      <c r="E18" s="21">
        <f>IFERROR(MATCH('Calc P6'!E24,Baseline!$C$26:$N$26,1)+('Calc P6'!E24-INDEX(Baseline!$C$26:$N$26,MATCH('Calc P6'!E24,Baseline!$C$26:$N$26,1)))/(INDEX(Baseline!$C$26:$N$26,MATCH('Calc P6'!E24,Baseline!$C$26:$N$26,1)+1)-INDEX(Baseline!$C$26:$N$26,MATCH('Calc P6'!E24,Baseline!$C$26:$N$26,1))),'Calc P6'!E24/INDEX(Baseline!$C$26:$N$26,1))</f>
        <v/>
      </c>
      <c r="F18" s="19" t="inlineStr">
        <is>
          <t>periods</t>
        </is>
      </c>
    </row>
    <row r="19">
      <c r="A19" s="4" t="n">
        <v>15</v>
      </c>
      <c r="B19" s="4" t="inlineStr">
        <is>
          <t>Actual time (AT)</t>
        </is>
      </c>
      <c r="C19" s="17" t="inlineStr">
        <is>
          <t>Periods elapsed at the data date</t>
        </is>
      </c>
      <c r="D19" s="22">
        <f>5</f>
        <v/>
      </c>
      <c r="E19" s="22">
        <f>6</f>
        <v/>
      </c>
      <c r="F19" s="19" t="inlineStr">
        <is>
          <t>periods</t>
        </is>
      </c>
    </row>
    <row r="20">
      <c r="A20" s="4" t="n">
        <v>16</v>
      </c>
      <c r="B20" s="4" t="inlineStr">
        <is>
          <t>Schedule variance, time SV(t)</t>
        </is>
      </c>
      <c r="C20" s="17" t="inlineStr">
        <is>
          <t>ES - AT</t>
        </is>
      </c>
      <c r="D20" s="21">
        <f>IFERROR(MATCH('Calc P5'!E24,Baseline!$C$26:$N$26,1)+('Calc P5'!E24-INDEX(Baseline!$C$26:$N$26,MATCH('Calc P5'!E24,Baseline!$C$26:$N$26,1)))/(INDEX(Baseline!$C$26:$N$26,MATCH('Calc P5'!E24,Baseline!$C$26:$N$26,1)+1)-INDEX(Baseline!$C$26:$N$26,MATCH('Calc P5'!E24,Baseline!$C$26:$N$26,1))),'Calc P5'!E24/INDEX(Baseline!$C$26:$N$26,1))-5</f>
        <v/>
      </c>
      <c r="E20" s="21">
        <f>IFERROR(MATCH('Calc P6'!E24,Baseline!$C$26:$N$26,1)+('Calc P6'!E24-INDEX(Baseline!$C$26:$N$26,MATCH('Calc P6'!E24,Baseline!$C$26:$N$26,1)))/(INDEX(Baseline!$C$26:$N$26,MATCH('Calc P6'!E24,Baseline!$C$26:$N$26,1)+1)-INDEX(Baseline!$C$26:$N$26,MATCH('Calc P6'!E24,Baseline!$C$26:$N$26,1))),'Calc P6'!E24/INDEX(Baseline!$C$26:$N$26,1))-6</f>
        <v/>
      </c>
      <c r="F20" s="19" t="inlineStr">
        <is>
          <t>periods</t>
        </is>
      </c>
    </row>
    <row r="21">
      <c r="A21" s="4" t="n">
        <v>17</v>
      </c>
      <c r="B21" s="4" t="inlineStr">
        <is>
          <t>Schedule performance index SPI(t)</t>
        </is>
      </c>
      <c r="C21" s="17" t="inlineStr">
        <is>
          <t>ES / AT</t>
        </is>
      </c>
      <c r="D21" s="21">
        <f>(IFERROR(MATCH('Calc P5'!E24,Baseline!$C$26:$N$26,1)+('Calc P5'!E24-INDEX(Baseline!$C$26:$N$26,MATCH('Calc P5'!E24,Baseline!$C$26:$N$26,1)))/(INDEX(Baseline!$C$26:$N$26,MATCH('Calc P5'!E24,Baseline!$C$26:$N$26,1)+1)-INDEX(Baseline!$C$26:$N$26,MATCH('Calc P5'!E24,Baseline!$C$26:$N$26,1))),'Calc P5'!E24/INDEX(Baseline!$C$26:$N$26,1)))/5</f>
        <v/>
      </c>
      <c r="E21" s="21">
        <f>(IFERROR(MATCH('Calc P6'!E24,Baseline!$C$26:$N$26,1)+('Calc P6'!E24-INDEX(Baseline!$C$26:$N$26,MATCH('Calc P6'!E24,Baseline!$C$26:$N$26,1)))/(INDEX(Baseline!$C$26:$N$26,MATCH('Calc P6'!E24,Baseline!$C$26:$N$26,1)+1)-INDEX(Baseline!$C$26:$N$26,MATCH('Calc P6'!E24,Baseline!$C$26:$N$26,1))),'Calc P6'!E24/INDEX(Baseline!$C$26:$N$26,1)))/6</f>
        <v/>
      </c>
      <c r="F21" s="19" t="inlineStr">
        <is>
          <t>ratio</t>
        </is>
      </c>
    </row>
    <row r="22">
      <c r="A22" s="4" t="n">
        <v>18</v>
      </c>
      <c r="B22" s="4" t="inlineStr">
        <is>
          <t>EAC method 1</t>
        </is>
      </c>
      <c r="C22" s="17" t="inlineStr">
        <is>
          <t>BAC / CPI</t>
        </is>
      </c>
      <c r="D22" s="18">
        <f>Inputs!C24/('Calc P5'!E24/'Calc P5'!G24)</f>
        <v/>
      </c>
      <c r="E22" s="18">
        <f>Inputs!C24/('Calc P6'!E24/'Calc P6'!G24)</f>
        <v/>
      </c>
      <c r="F22" s="19" t="inlineStr">
        <is>
          <t>Rs</t>
        </is>
      </c>
    </row>
    <row r="23">
      <c r="A23" s="4" t="n">
        <v>19</v>
      </c>
      <c r="B23" s="4" t="inlineStr">
        <is>
          <t>EAC method 2</t>
        </is>
      </c>
      <c r="C23" s="17" t="inlineStr">
        <is>
          <t>AC + (BAC - EV)</t>
        </is>
      </c>
      <c r="D23" s="18">
        <f>'Calc P5'!G24+(Inputs!C24-'Calc P5'!E24)</f>
        <v/>
      </c>
      <c r="E23" s="18">
        <f>'Calc P6'!G24+(Inputs!C24-'Calc P6'!E24)</f>
        <v/>
      </c>
      <c r="F23" s="19" t="inlineStr">
        <is>
          <t>Rs</t>
        </is>
      </c>
    </row>
    <row r="24">
      <c r="A24" s="4" t="n">
        <v>20</v>
      </c>
      <c r="B24" s="4" t="inlineStr">
        <is>
          <t>EAC method 3</t>
        </is>
      </c>
      <c r="C24" s="17" t="inlineStr">
        <is>
          <t>AC + (BAC - EV) / (CPI x SPI)</t>
        </is>
      </c>
      <c r="D24" s="18">
        <f>'Calc P5'!G24+(Inputs!C24-'Calc P5'!E24)/(('Calc P5'!E24/'Calc P5'!G24)*('Calc P5'!E24/'Calc P5'!F24))</f>
        <v/>
      </c>
      <c r="E24" s="18">
        <f>'Calc P6'!G24+(Inputs!C24-'Calc P6'!E24)/(('Calc P6'!E24/'Calc P6'!G24)*('Calc P6'!E24/'Calc P6'!F24))</f>
        <v/>
      </c>
      <c r="F24" s="19" t="inlineStr">
        <is>
          <t>Rs</t>
        </is>
      </c>
    </row>
    <row r="25">
      <c r="A25" s="4" t="n">
        <v>21</v>
      </c>
      <c r="B25" s="4" t="inlineStr">
        <is>
          <t>EAC method 4</t>
        </is>
      </c>
      <c r="C25" s="17" t="inlineStr">
        <is>
          <t>AC + (BAC - EV) / (0.8 CPI + 0.2 SPI)</t>
        </is>
      </c>
      <c r="D25" s="18">
        <f>'Calc P5'!G24+(Inputs!C24-'Calc P5'!E24)/(0.8*('Calc P5'!E24/'Calc P5'!G24)+0.2*('Calc P5'!E24/'Calc P5'!F24))</f>
        <v/>
      </c>
      <c r="E25" s="18">
        <f>'Calc P6'!G24+(Inputs!C24-'Calc P6'!E24)/(0.8*('Calc P6'!E24/'Calc P6'!G24)+0.2*('Calc P6'!E24/'Calc P6'!F24))</f>
        <v/>
      </c>
      <c r="F25" s="19" t="inlineStr">
        <is>
          <t>Rs</t>
        </is>
      </c>
    </row>
    <row r="26">
      <c r="A26" s="4" t="n">
        <v>22</v>
      </c>
      <c r="B26" s="4" t="inlineStr">
        <is>
          <t>ETC (on EAC method 1)</t>
        </is>
      </c>
      <c r="C26" s="17" t="inlineStr">
        <is>
          <t>EAC1 - AC</t>
        </is>
      </c>
      <c r="D26" s="18">
        <f>Inputs!C24/('Calc P5'!E24/'Calc P5'!G24)-'Calc P5'!G24</f>
        <v/>
      </c>
      <c r="E26" s="18">
        <f>Inputs!C24/('Calc P6'!E24/'Calc P6'!G24)-'Calc P6'!G24</f>
        <v/>
      </c>
      <c r="F26" s="19" t="inlineStr">
        <is>
          <t>Rs</t>
        </is>
      </c>
    </row>
    <row r="27">
      <c r="A27" s="4" t="n">
        <v>23</v>
      </c>
      <c r="B27" s="4" t="inlineStr">
        <is>
          <t>VAC (on EAC method 1)</t>
        </is>
      </c>
      <c r="C27" s="17" t="inlineStr">
        <is>
          <t>BAC - EAC1</t>
        </is>
      </c>
      <c r="D27" s="18">
        <f>Inputs!C24-Inputs!C24/('Calc P5'!E24/'Calc P5'!G24)</f>
        <v/>
      </c>
      <c r="E27" s="18">
        <f>Inputs!C24-Inputs!C24/('Calc P6'!E24/'Calc P6'!G24)</f>
        <v/>
      </c>
      <c r="F27" s="19" t="inlineStr">
        <is>
          <t>Rs</t>
        </is>
      </c>
    </row>
    <row r="28">
      <c r="A28" s="4" t="n">
        <v>24</v>
      </c>
      <c r="B28" s="4" t="inlineStr">
        <is>
          <t>TCPI to BAC</t>
        </is>
      </c>
      <c r="C28" s="17" t="inlineStr">
        <is>
          <t>(BAC - EV) / (BAC - AC)</t>
        </is>
      </c>
      <c r="D28" s="21">
        <f>(Inputs!C24-'Calc P5'!E24)/(Inputs!C24-'Calc P5'!G24)</f>
        <v/>
      </c>
      <c r="E28" s="21">
        <f>(Inputs!C24-'Calc P6'!E24)/(Inputs!C24-'Calc P6'!G24)</f>
        <v/>
      </c>
      <c r="F28" s="19" t="inlineStr">
        <is>
          <t>ratio</t>
        </is>
      </c>
    </row>
    <row r="29">
      <c r="A29" s="4" t="n">
        <v>25</v>
      </c>
      <c r="B29" s="4" t="inlineStr">
        <is>
          <t>TCPI to EAC1</t>
        </is>
      </c>
      <c r="C29" s="17" t="inlineStr">
        <is>
          <t>(BAC - EV) / (EAC1 - AC)</t>
        </is>
      </c>
      <c r="D29" s="21">
        <f>(Inputs!C24-'Calc P5'!E24)/(Inputs!C24/('Calc P5'!E24/'Calc P5'!G24)-'Calc P5'!G24)</f>
        <v/>
      </c>
      <c r="E29" s="21">
        <f>(Inputs!C24-'Calc P6'!E24)/(Inputs!C24/('Calc P6'!E24/'Calc P6'!G24)-'Calc P6'!G24)</f>
        <v/>
      </c>
      <c r="F29" s="19" t="inlineStr">
        <is>
          <t>ratio</t>
        </is>
      </c>
    </row>
    <row r="31">
      <c r="B31" s="23" t="inlineStr">
        <is>
          <t>Notes</t>
        </is>
      </c>
    </row>
    <row r="32">
      <c r="B32" s="2" t="inlineStr">
        <is>
          <t>1. Rounding is applied by the cell number format only. No value is rounded in the calculation chain; rounding an intermediate index moves EAC method 3 by tens of rupees.</t>
        </is>
      </c>
    </row>
    <row r="33">
      <c r="B33" s="2" t="inlineStr">
        <is>
          <t>2. Earned Schedule assumes planned value accrues linearly within a period. Over a monthly period on building work this is a mild assumption.</t>
        </is>
      </c>
    </row>
    <row r="34">
      <c r="B34" s="2" t="inlineStr">
        <is>
          <t>3. TCPI to EAC1 must equal CPI exactly. It is an algebraic identity and a check that the forecast chain is intact.</t>
        </is>
      </c>
    </row>
    <row r="35">
      <c r="B35" s="2" t="inlineStr">
        <is>
          <t>4. EAC method 2 implies VAC equal to the cost variance already incurred. Also an identity.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2026-10-29T17:13:57Z</dcterms:created>
  <dcterms:modified xsi:type="dcterms:W3CDTF">2026-10-29T17:13:57Z</dcterms:modified>
</cp:coreProperties>
</file>